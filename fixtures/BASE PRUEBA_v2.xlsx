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se FLUJOTV" sheetId="1" r:id="rId5"/>
    <sheet state="visible" name="Base NETFLIX" sheetId="2" r:id="rId6"/>
  </sheets>
  <definedNames>
    <definedName hidden="1" localSheetId="0" name="_xlnm._FilterDatabase">'Base FLUJOTV'!$A$1:$P$97</definedName>
    <definedName hidden="1" localSheetId="1" name="_xlnm._FilterDatabase">'Base NETFLIX'!$A$1:$P$97</definedName>
    <definedName hidden="1" localSheetId="0" name="Z_5D13EBCA_B411_43CE_9126_E66831C909FA_.wvu.FilterData">'Base FLUJOTV'!$A$1:$P$97</definedName>
    <definedName hidden="1" localSheetId="1" name="Z_5D13EBCA_B411_43CE_9126_E66831C909FA_.wvu.FilterData">'Base NETFLIX'!$A$1:$P$97</definedName>
    <definedName hidden="1" localSheetId="0" name="Z_C86A41E8_7269_474F_8929_DD0E7C2A7897_.wvu.FilterData">'Base FLUJOTV'!$A$1:$P$97</definedName>
    <definedName hidden="1" localSheetId="1" name="Z_C86A41E8_7269_474F_8929_DD0E7C2A7897_.wvu.FilterData">'Base NETFLIX'!$A$1:$P$97</definedName>
  </definedNames>
  <calcPr/>
  <customWorkbookViews>
    <customWorkbookView activeSheetId="0" maximized="1" windowHeight="0" windowWidth="0" guid="{5D13EBCA-B411-43CE-9126-E66831C909FA}" name="EDWARD"/>
    <customWorkbookView activeSheetId="0" maximized="1" windowHeight="0" windowWidth="0" guid="{C86A41E8-7269-474F-8929-DD0E7C2A7897}" name="GABRIEL"/>
  </customWorkbookViews>
</workbook>
</file>

<file path=xl/sharedStrings.xml><?xml version="1.0" encoding="utf-8"?>
<sst xmlns="http://schemas.openxmlformats.org/spreadsheetml/2006/main" count="913" uniqueCount="277">
  <si>
    <t>CORREO</t>
  </si>
  <si>
    <t>CONTRASEÑA</t>
  </si>
  <si>
    <t>PERFIL</t>
  </si>
  <si>
    <t>FECHA DE INICIO</t>
  </si>
  <si>
    <t>FECHA QUE ACABA</t>
  </si>
  <si>
    <t>DIAS</t>
  </si>
  <si>
    <t>ESTATUS</t>
  </si>
  <si>
    <t>NOMBRE</t>
  </si>
  <si>
    <t>MONTO</t>
  </si>
  <si>
    <t>BANCO</t>
  </si>
  <si>
    <t>REFF</t>
  </si>
  <si>
    <t>ESTADO</t>
  </si>
  <si>
    <t>NUMERO</t>
  </si>
  <si>
    <t>ACOTACION</t>
  </si>
  <si>
    <t>ESTADO D</t>
  </si>
  <si>
    <t>PAIS</t>
  </si>
  <si>
    <t>cmaxnet001</t>
  </si>
  <si>
    <t>dasdsadasda@gmail.com</t>
  </si>
  <si>
    <t>ncsa909</t>
  </si>
  <si>
    <t>simara23075</t>
  </si>
  <si>
    <t>1 PERFIL</t>
  </si>
  <si>
    <t>1 PERFIL (1)</t>
  </si>
  <si>
    <t>Anny Tovar</t>
  </si>
  <si>
    <t>Daniel pares</t>
  </si>
  <si>
    <t>Portuguesa</t>
  </si>
  <si>
    <t>Anzoátegui</t>
  </si>
  <si>
    <t>VE</t>
  </si>
  <si>
    <t>BR</t>
  </si>
  <si>
    <t>hjdksa989</t>
  </si>
  <si>
    <t>Neisis Zambrano</t>
  </si>
  <si>
    <t>Rafael minnesota</t>
  </si>
  <si>
    <t>USA</t>
  </si>
  <si>
    <t>Caracas</t>
  </si>
  <si>
    <t>1 PERFIL (2)</t>
  </si>
  <si>
    <t>asdd76</t>
  </si>
  <si>
    <t>Roman Morales</t>
  </si>
  <si>
    <t>Yuyu</t>
  </si>
  <si>
    <t>cmaxnet002</t>
  </si>
  <si>
    <t>sdas98</t>
  </si>
  <si>
    <t>1 PERFIL (4)</t>
  </si>
  <si>
    <t>Nilson Zambrano</t>
  </si>
  <si>
    <t>Gloria Castañeda</t>
  </si>
  <si>
    <t>EDWARD</t>
  </si>
  <si>
    <t>Aragua</t>
  </si>
  <si>
    <t>GABRIEL</t>
  </si>
  <si>
    <t>ckjas09</t>
  </si>
  <si>
    <t>sadasdas3@gmail.com</t>
  </si>
  <si>
    <t>loro5544</t>
  </si>
  <si>
    <t>Johnathan sobrino Dayana</t>
  </si>
  <si>
    <t>PERFIL (EXTRA)</t>
  </si>
  <si>
    <t>Kelly pacheco</t>
  </si>
  <si>
    <t>España</t>
  </si>
  <si>
    <t>hfghfgbghfghg@hotmail.com</t>
  </si>
  <si>
    <t>4127065441 numero extra</t>
  </si>
  <si>
    <t>juan8727</t>
  </si>
  <si>
    <t>1 PERFIL (3)</t>
  </si>
  <si>
    <t>Dias de alerta por vencer</t>
  </si>
  <si>
    <t>Carlos Berroteran</t>
  </si>
  <si>
    <t>BANESCO</t>
  </si>
  <si>
    <t>caracas</t>
  </si>
  <si>
    <t>cmaxnet003</t>
  </si>
  <si>
    <t>Daya</t>
  </si>
  <si>
    <t>Eucaris Acosta</t>
  </si>
  <si>
    <t>Cojedes</t>
  </si>
  <si>
    <t>ciejas98</t>
  </si>
  <si>
    <t>Maria Jimenez</t>
  </si>
  <si>
    <t>Alex Muria</t>
  </si>
  <si>
    <t>Anzoategui</t>
  </si>
  <si>
    <t>VENCIDO</t>
  </si>
  <si>
    <t>maxnet001</t>
  </si>
  <si>
    <t>CUENTA COMPLETA</t>
  </si>
  <si>
    <t>Jesus Galvis</t>
  </si>
  <si>
    <t>POR VENCER</t>
  </si>
  <si>
    <t>dsgdsgsdvs9@hotmail.com</t>
  </si>
  <si>
    <t>budase9283</t>
  </si>
  <si>
    <t>Luis Romero</t>
  </si>
  <si>
    <t>Zulia</t>
  </si>
  <si>
    <t>Andrea flores</t>
  </si>
  <si>
    <t>Barinas</t>
  </si>
  <si>
    <t>rosimar uribe</t>
  </si>
  <si>
    <t>maxnet002</t>
  </si>
  <si>
    <t>Félix Toro</t>
  </si>
  <si>
    <t>Franklin Castañeda</t>
  </si>
  <si>
    <t>maxnet003</t>
  </si>
  <si>
    <t>njknjkashjhdasd1@hotmail.com</t>
  </si>
  <si>
    <t>gevana8723</t>
  </si>
  <si>
    <t>Andrés pereira</t>
  </si>
  <si>
    <t>34611161181 / 34641375927</t>
  </si>
  <si>
    <t>Oskerlys González</t>
  </si>
  <si>
    <t>BM</t>
  </si>
  <si>
    <t>VIGENTE</t>
  </si>
  <si>
    <t>maxnet004</t>
  </si>
  <si>
    <t>Libardo Perez</t>
  </si>
  <si>
    <t>34641375927 / 4129398953</t>
  </si>
  <si>
    <t>Marquinson Quintana</t>
  </si>
  <si>
    <t>VENEZUELA</t>
  </si>
  <si>
    <t>maxnet005</t>
  </si>
  <si>
    <t>nusha09</t>
  </si>
  <si>
    <t>Ruben martinez</t>
  </si>
  <si>
    <t>albany hernandez</t>
  </si>
  <si>
    <t>maxnet006</t>
  </si>
  <si>
    <t>nygsa98</t>
  </si>
  <si>
    <t xml:space="preserve">Richard Vasquez </t>
  </si>
  <si>
    <t>Anthony roncancio</t>
  </si>
  <si>
    <t>Distrito capital</t>
  </si>
  <si>
    <t>maxnet007</t>
  </si>
  <si>
    <t>jnkbdas98</t>
  </si>
  <si>
    <t>bhjjhjdabhbjhdjhs@hotmail.com</t>
  </si>
  <si>
    <t>Raul Villa</t>
  </si>
  <si>
    <t>Madrid</t>
  </si>
  <si>
    <t>warere23212</t>
  </si>
  <si>
    <t>1 PERFIL (5)</t>
  </si>
  <si>
    <t>maxnet008</t>
  </si>
  <si>
    <t>Moisés rahman</t>
  </si>
  <si>
    <t>djkas98</t>
  </si>
  <si>
    <t>Jesus Marquez</t>
  </si>
  <si>
    <t>miranda</t>
  </si>
  <si>
    <t>Marianyer ballesteros</t>
  </si>
  <si>
    <t>maxnet009</t>
  </si>
  <si>
    <t>Gabriel Paso</t>
  </si>
  <si>
    <t>Texas</t>
  </si>
  <si>
    <t xml:space="preserve">Rafa trabajo emi </t>
  </si>
  <si>
    <t>cuenta perso</t>
  </si>
  <si>
    <t>maxnet010</t>
  </si>
  <si>
    <t>Martin Gil</t>
  </si>
  <si>
    <t>Sorangel Hernández</t>
  </si>
  <si>
    <t>maxnet011</t>
  </si>
  <si>
    <t>kkfkf09</t>
  </si>
  <si>
    <t>Luis Salazar</t>
  </si>
  <si>
    <t>Miranda</t>
  </si>
  <si>
    <t>maxnet012</t>
  </si>
  <si>
    <t>sasdas09</t>
  </si>
  <si>
    <t>njkashdjgjasdasd@hotmail.com</t>
  </si>
  <si>
    <t>hedare28202</t>
  </si>
  <si>
    <t>yitzi</t>
  </si>
  <si>
    <t>maxnet013</t>
  </si>
  <si>
    <t>Maria pietrini</t>
  </si>
  <si>
    <t>maxnet014</t>
  </si>
  <si>
    <t>hedaha98202</t>
  </si>
  <si>
    <t>maxnet015</t>
  </si>
  <si>
    <t>Yohenny Madrid</t>
  </si>
  <si>
    <t>Maracay</t>
  </si>
  <si>
    <t>Manuel Jacas</t>
  </si>
  <si>
    <t>maxnet016</t>
  </si>
  <si>
    <t>Alejandra decena</t>
  </si>
  <si>
    <t>amazonas</t>
  </si>
  <si>
    <t>antonio salazar</t>
  </si>
  <si>
    <t>maxnet017</t>
  </si>
  <si>
    <t>Jose martinez</t>
  </si>
  <si>
    <t>Guarico</t>
  </si>
  <si>
    <t>Gerardo Hernandez</t>
  </si>
  <si>
    <t>4124086018 / 4242039835</t>
  </si>
  <si>
    <t>neugasda5@outlook.com</t>
  </si>
  <si>
    <t>andrea82712</t>
  </si>
  <si>
    <t>maxnet018</t>
  </si>
  <si>
    <t>Ronald Marcano</t>
  </si>
  <si>
    <t>Sucre</t>
  </si>
  <si>
    <t>maxnet019</t>
  </si>
  <si>
    <t>Sergio Quevedo</t>
  </si>
  <si>
    <t>Alejandra Alvarado</t>
  </si>
  <si>
    <t>Lara</t>
  </si>
  <si>
    <t>maxnet020</t>
  </si>
  <si>
    <t>Rebeca Tirado</t>
  </si>
  <si>
    <t>Darwin Codino</t>
  </si>
  <si>
    <t>Carabobo</t>
  </si>
  <si>
    <t>maxnet021</t>
  </si>
  <si>
    <t>Manuel Molina</t>
  </si>
  <si>
    <t>Stefania Marmai (Gian)</t>
  </si>
  <si>
    <t>huysajdal@hotmail.com</t>
  </si>
  <si>
    <t>sedafa98232</t>
  </si>
  <si>
    <t>maxnet022</t>
  </si>
  <si>
    <t>Juan delgado</t>
  </si>
  <si>
    <t>Luisani Villegas</t>
  </si>
  <si>
    <t>maxnet023</t>
  </si>
  <si>
    <t>Fabiola torres</t>
  </si>
  <si>
    <t>Barquisimeto</t>
  </si>
  <si>
    <t>Alvaro Mejias</t>
  </si>
  <si>
    <t>maxnet024</t>
  </si>
  <si>
    <t>Joselyn García</t>
  </si>
  <si>
    <t>Yera Yina</t>
  </si>
  <si>
    <t>Venezuela</t>
  </si>
  <si>
    <t>maxnet025</t>
  </si>
  <si>
    <t>Rafael Giménez</t>
  </si>
  <si>
    <t>Iliana Rodriguez</t>
  </si>
  <si>
    <t>Valencia</t>
  </si>
  <si>
    <t>OCUPADO</t>
  </si>
  <si>
    <t>hundtasd26@gmail.com</t>
  </si>
  <si>
    <t>duzerar2823</t>
  </si>
  <si>
    <t>maxnet026</t>
  </si>
  <si>
    <t>Olga villamizar</t>
  </si>
  <si>
    <t>Angel Morillo</t>
  </si>
  <si>
    <t>maxnet027</t>
  </si>
  <si>
    <t>Gusvic Herrera</t>
  </si>
  <si>
    <t>Andreina Urbina</t>
  </si>
  <si>
    <t>portuguesa</t>
  </si>
  <si>
    <t>Charallave, Miranda</t>
  </si>
  <si>
    <t>maxnet028</t>
  </si>
  <si>
    <t>Alberto Goncalvez</t>
  </si>
  <si>
    <t>fernando</t>
  </si>
  <si>
    <t>maxnet029</t>
  </si>
  <si>
    <t>Alfredo Marchan</t>
  </si>
  <si>
    <t>Rosana Boscán</t>
  </si>
  <si>
    <t>maxnet030</t>
  </si>
  <si>
    <t>Guillermo hijo</t>
  </si>
  <si>
    <t>dsddsdsd02.6@gmail.com</t>
  </si>
  <si>
    <t>derahara273</t>
  </si>
  <si>
    <t>Kisqueya Giménez</t>
  </si>
  <si>
    <t>maxnet031</t>
  </si>
  <si>
    <t>Manuel de freitas</t>
  </si>
  <si>
    <t>maxnet032</t>
  </si>
  <si>
    <t>Julio Triviño</t>
  </si>
  <si>
    <t>cuenta de madre</t>
  </si>
  <si>
    <t>maxnet033</t>
  </si>
  <si>
    <t>Pedro Rosa</t>
  </si>
  <si>
    <t>Florida</t>
  </si>
  <si>
    <t>maxnet034</t>
  </si>
  <si>
    <t>Franklin  Landaverde</t>
  </si>
  <si>
    <t>maxnet035</t>
  </si>
  <si>
    <t>Jhoselin Valderrama</t>
  </si>
  <si>
    <t xml:space="preserve">Viviana Galeano cadena </t>
  </si>
  <si>
    <t>maxnet036</t>
  </si>
  <si>
    <t>María Rivero</t>
  </si>
  <si>
    <t>Sebastian Silva</t>
  </si>
  <si>
    <t>Trujillo</t>
  </si>
  <si>
    <t>maxnet037</t>
  </si>
  <si>
    <t>Francisco USA</t>
  </si>
  <si>
    <t>Juliangelys Pérez</t>
  </si>
  <si>
    <t>Nueva Esparta</t>
  </si>
  <si>
    <t>maxnet038</t>
  </si>
  <si>
    <t>asdgauygasdasda6@gmail.com</t>
  </si>
  <si>
    <t>gadara2721</t>
  </si>
  <si>
    <t>Rosina Colabuono</t>
  </si>
  <si>
    <t>Rodolfo Guerrero</t>
  </si>
  <si>
    <t>maxnet039</t>
  </si>
  <si>
    <t>Enzo Colaubo</t>
  </si>
  <si>
    <t>maxnet040</t>
  </si>
  <si>
    <t>greison parra</t>
  </si>
  <si>
    <t>Greicy Garcia</t>
  </si>
  <si>
    <t>cojedes</t>
  </si>
  <si>
    <t>maxnet041</t>
  </si>
  <si>
    <t>Deilymar Yepez</t>
  </si>
  <si>
    <t>Angel Monasterio</t>
  </si>
  <si>
    <t>Georgia</t>
  </si>
  <si>
    <t>maxnet042</t>
  </si>
  <si>
    <t>Dylan Lancheros</t>
  </si>
  <si>
    <t>Javier Muria</t>
  </si>
  <si>
    <t>dshaugjhsdsada5@outlook.com</t>
  </si>
  <si>
    <t>maxnet043</t>
  </si>
  <si>
    <t>daniel91822</t>
  </si>
  <si>
    <t>Elio USA</t>
  </si>
  <si>
    <t>Zulany Díaz</t>
  </si>
  <si>
    <t>maxnet044</t>
  </si>
  <si>
    <t>Valentina Mejia</t>
  </si>
  <si>
    <t>IT</t>
  </si>
  <si>
    <t>maxnet045</t>
  </si>
  <si>
    <t>Ileana Baez</t>
  </si>
  <si>
    <t>jennifer guaraco</t>
  </si>
  <si>
    <t>maxnet046</t>
  </si>
  <si>
    <t>Victor Guaramato</t>
  </si>
  <si>
    <t>ana campero</t>
  </si>
  <si>
    <t>maxnet047</t>
  </si>
  <si>
    <t>Justo Escalante</t>
  </si>
  <si>
    <t/>
  </si>
  <si>
    <t>maxnet048</t>
  </si>
  <si>
    <t>Eli Domínguez</t>
  </si>
  <si>
    <t>maxnet049</t>
  </si>
  <si>
    <t>Mauricio Hernández</t>
  </si>
  <si>
    <t>Colombia</t>
  </si>
  <si>
    <t>maxnet050</t>
  </si>
  <si>
    <t>Jackson Amaya</t>
  </si>
  <si>
    <t>maxnet054</t>
  </si>
  <si>
    <t>kjods64</t>
  </si>
  <si>
    <t>maxnet051</t>
  </si>
  <si>
    <t>David M</t>
  </si>
  <si>
    <t>maxnet052</t>
  </si>
  <si>
    <t>maxnet053</t>
  </si>
  <si>
    <t>cmaxnet004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</si>
</sst>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#,##0.00[$Bs]"/>
    <numFmt numFmtId="165" formatCode="d/MM/yyyy"/>
    <numFmt numFmtId="166" formatCode="#,##0.00[$$]"/>
  </numFmts>
  <fonts count="16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sz val="14.0"/>
      <color theme="1"/>
      <name val="Arial"/>
      <scheme val="minor"/>
    </font>
    <font>
      <sz val="11.0"/>
      <color theme="1"/>
      <name val="Calibri"/>
    </font>
    <font>
      <color rgb="FF434343"/>
      <name val="Roboto"/>
    </font>
    <font>
      <b/>
      <sz val="11.0"/>
      <color theme="1"/>
      <name val="Arial"/>
      <scheme val="minor"/>
    </font>
    <font>
      <sz val="11.0"/>
      <color rgb="FF000000"/>
      <name val="Calibri"/>
    </font>
    <font>
      <u/>
      <color rgb="FF434343"/>
      <name val="Arial"/>
      <scheme val="minor"/>
    </font>
    <font>
      <b/>
      <sz val="12.0"/>
      <color rgb="FF000000"/>
      <name val="Calibri"/>
    </font>
    <font>
      <sz val="14.0"/>
      <color rgb="FFFFFFFF"/>
      <name val="Calibri"/>
    </font>
    <font>
      <sz val="14.0"/>
      <color rgb="FF000000"/>
      <name val="Calibri"/>
    </font>
    <font>
      <color theme="1"/>
      <name val="Roboto"/>
    </font>
    <font>
      <b/>
      <sz val="11.0"/>
      <color theme="1"/>
      <name val="Calibri"/>
    </font>
    <font>
      <u/>
      <color rgb="FF434343"/>
      <name val="Arial"/>
      <scheme val="minor"/>
    </font>
    <font>
      <u/>
      <color rgb="FF434343"/>
      <name val="Arial"/>
      <scheme val="minor"/>
    </font>
  </fonts>
  <fills count="11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6D9EEB"/>
        <bgColor rgb="FF6D9EEB"/>
      </patternFill>
    </fill>
    <fill>
      <patternFill patternType="solid">
        <fgColor rgb="FF00B0F0"/>
        <bgColor rgb="FF00B0F0"/>
      </patternFill>
    </fill>
    <fill>
      <patternFill patternType="solid">
        <fgColor rgb="FF00FFFF"/>
        <bgColor rgb="FF00FFFF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00B050"/>
        <bgColor rgb="FF00B050"/>
      </patternFill>
    </fill>
    <fill>
      <patternFill patternType="solid">
        <fgColor rgb="FF4A86E8"/>
        <bgColor rgb="FF4A86E8"/>
      </patternFill>
    </fill>
  </fills>
  <borders count="4">
    <border/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right style="thin">
        <color rgb="FF999999"/>
      </right>
      <top style="thin">
        <color rgb="FF999999"/>
      </top>
      <bottom style="thin">
        <color rgb="FF999999"/>
      </bottom>
    </border>
  </borders>
  <cellStyleXfs count="1">
    <xf borderId="0" fillId="0" fontId="0" numFmtId="0" applyAlignment="1" applyFont="1"/>
  </cellStyleXfs>
  <cellXfs count="9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center" wrapText="0"/>
    </xf>
    <xf borderId="0" fillId="0" fontId="2" numFmtId="164" xfId="0" applyAlignment="1" applyFont="1" applyNumberForma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3" numFmtId="0" xfId="0" applyAlignment="1" applyFont="1">
      <alignment horizontal="center" readingOrder="0" shrinkToFit="0" vertical="center" wrapText="0"/>
    </xf>
    <xf borderId="1" fillId="0" fontId="4" numFmtId="0" xfId="0" applyAlignment="1" applyBorder="1" applyFont="1">
      <alignment horizontal="center" readingOrder="0" shrinkToFit="0" vertical="center" wrapText="1"/>
    </xf>
    <xf borderId="1" fillId="0" fontId="5" numFmtId="0" xfId="0" applyAlignment="1" applyBorder="1" applyFont="1">
      <alignment horizontal="center" readingOrder="0" shrinkToFit="0" vertical="center" wrapText="0"/>
    </xf>
    <xf borderId="1" fillId="2" fontId="4" numFmtId="0" xfId="0" applyAlignment="1" applyBorder="1" applyFill="1" applyFont="1">
      <alignment horizontal="center" readingOrder="0" shrinkToFit="0" vertical="center" wrapText="1"/>
    </xf>
    <xf borderId="2" fillId="0" fontId="5" numFmtId="0" xfId="0" applyAlignment="1" applyBorder="1" applyFont="1">
      <alignment horizontal="center" readingOrder="0" shrinkToFit="0" vertical="center" wrapText="0"/>
    </xf>
    <xf borderId="1" fillId="0" fontId="1" numFmtId="0" xfId="0" applyAlignment="1" applyBorder="1" applyFont="1">
      <alignment horizontal="center" readingOrder="0" shrinkToFit="0" vertical="center" wrapText="0"/>
    </xf>
    <xf borderId="1" fillId="0" fontId="1" numFmtId="165" xfId="0" applyAlignment="1" applyBorder="1" applyFont="1" applyNumberFormat="1">
      <alignment horizontal="center" readingOrder="0" shrinkToFit="0" vertical="center" wrapText="0"/>
    </xf>
    <xf borderId="1" fillId="3" fontId="4" numFmtId="165" xfId="0" applyAlignment="1" applyBorder="1" applyFill="1" applyFont="1" applyNumberFormat="1">
      <alignment horizontal="center" readingOrder="0" shrinkToFit="0" vertical="center" wrapText="1"/>
    </xf>
    <xf borderId="1" fillId="0" fontId="4" numFmtId="165" xfId="0" applyAlignment="1" applyBorder="1" applyFont="1" applyNumberFormat="1">
      <alignment horizontal="center" readingOrder="0" shrinkToFit="0" vertical="center" wrapText="1"/>
    </xf>
    <xf borderId="1" fillId="4" fontId="6" numFmtId="3" xfId="0" applyAlignment="1" applyBorder="1" applyFill="1" applyFont="1" applyNumberFormat="1">
      <alignment horizontal="center" readingOrder="0" shrinkToFit="0" vertical="center" wrapText="0"/>
    </xf>
    <xf borderId="1" fillId="0" fontId="1" numFmtId="0" xfId="0" applyAlignment="1" applyBorder="1" applyFont="1">
      <alignment horizontal="center" shrinkToFit="0" vertical="center" wrapText="0"/>
    </xf>
    <xf borderId="1" fillId="0" fontId="4" numFmtId="166" xfId="0" applyAlignment="1" applyBorder="1" applyFont="1" applyNumberFormat="1">
      <alignment horizontal="center" readingOrder="0" shrinkToFit="0" vertical="center" wrapText="1"/>
    </xf>
    <xf borderId="1" fillId="0" fontId="1" numFmtId="166" xfId="0" applyAlignment="1" applyBorder="1" applyFont="1" applyNumberFormat="1">
      <alignment horizontal="center" readingOrder="0" shrinkToFit="0" vertical="center" wrapText="0"/>
    </xf>
    <xf borderId="1" fillId="0" fontId="1" numFmtId="0" xfId="0" applyAlignment="1" applyBorder="1" applyFont="1">
      <alignment horizontal="center" readingOrder="0" shrinkToFit="0" vertical="center" wrapText="0"/>
    </xf>
    <xf borderId="1" fillId="0" fontId="1" numFmtId="49" xfId="0" applyAlignment="1" applyBorder="1" applyFont="1" applyNumberFormat="1">
      <alignment horizontal="center" readingOrder="0" shrinkToFit="0" vertical="center" wrapText="0"/>
    </xf>
    <xf borderId="1" fillId="0" fontId="1" numFmtId="0" xfId="0" applyAlignment="1" applyBorder="1" applyFont="1">
      <alignment horizontal="center" shrinkToFit="0" vertical="center" wrapText="0"/>
    </xf>
    <xf borderId="1" fillId="0" fontId="3" numFmtId="0" xfId="0" applyAlignment="1" applyBorder="1" applyFont="1">
      <alignment horizontal="center" readingOrder="0" shrinkToFit="0" vertical="center" wrapText="0"/>
    </xf>
    <xf borderId="1" fillId="0" fontId="2" numFmtId="0" xfId="0" applyAlignment="1" applyBorder="1" applyFont="1">
      <alignment horizontal="center" readingOrder="0" shrinkToFit="0" vertical="center" wrapText="0"/>
    </xf>
    <xf borderId="0" fillId="0" fontId="1" numFmtId="14" xfId="0" applyFont="1" applyNumberFormat="1"/>
    <xf borderId="1" fillId="0" fontId="1" numFmtId="0" xfId="0" applyAlignment="1" applyBorder="1" applyFont="1">
      <alignment horizontal="center" readingOrder="0" shrinkToFit="0" vertical="center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1" fillId="0" fontId="1" numFmtId="165" xfId="0" applyAlignment="1" applyBorder="1" applyFont="1" applyNumberFormat="1">
      <alignment horizontal="center" readingOrder="0" shrinkToFit="0" vertical="center" wrapText="0"/>
    </xf>
    <xf borderId="1" fillId="0" fontId="4" numFmtId="0" xfId="0" applyAlignment="1" applyBorder="1" applyFont="1">
      <alignment horizontal="center" shrinkToFit="0" vertical="center" wrapText="1"/>
    </xf>
    <xf borderId="1" fillId="0" fontId="1" numFmtId="0" xfId="0" applyAlignment="1" applyBorder="1" applyFont="1">
      <alignment horizontal="center" readingOrder="0" shrinkToFit="0" vertical="center" wrapText="0"/>
    </xf>
    <xf borderId="1" fillId="3" fontId="1" numFmtId="0" xfId="0" applyAlignment="1" applyBorder="1" applyFill="1" applyFont="1">
      <alignment horizontal="center" readingOrder="0" shrinkToFit="0" vertical="center" wrapText="0"/>
    </xf>
    <xf borderId="1" fillId="3" fontId="1" numFmtId="165" xfId="0" applyAlignment="1" applyBorder="1" applyFill="1" applyFont="1" applyNumberFormat="1">
      <alignment horizontal="center" readingOrder="0" shrinkToFit="0" vertical="center" wrapText="0"/>
    </xf>
    <xf borderId="1" fillId="0" fontId="7" numFmtId="0" xfId="0" applyAlignment="1" applyBorder="1" applyFont="1">
      <alignment horizontal="center" readingOrder="0" shrinkToFit="0" vertical="center" wrapText="1"/>
    </xf>
    <xf borderId="1" fillId="0" fontId="8" numFmtId="0" xfId="0" applyAlignment="1" applyBorder="1" applyFont="1">
      <alignment horizontal="center" readingOrder="0" shrinkToFit="0" vertical="center" wrapText="0"/>
    </xf>
    <xf borderId="2" fillId="3" fontId="1" numFmtId="0" xfId="0" applyAlignment="1" applyBorder="1" applyFill="1" applyFont="1">
      <alignment horizontal="center" readingOrder="0" shrinkToFit="0" vertical="center" wrapText="0"/>
    </xf>
    <xf borderId="2" fillId="0" fontId="1" numFmtId="0" xfId="0" applyAlignment="1" applyBorder="1" applyFont="1">
      <alignment horizontal="center" readingOrder="0" shrinkToFit="0" vertical="center" wrapText="0"/>
    </xf>
    <xf borderId="0" fillId="3" fontId="9" numFmtId="0" xfId="0" applyAlignment="1" applyFill="1" applyFont="1">
      <alignment horizontal="center" readingOrder="0" shrinkToFit="0" wrapText="0"/>
    </xf>
    <xf borderId="0" fillId="5" fontId="9" numFmtId="0" xfId="0" applyAlignment="1" applyFill="1" applyFont="1">
      <alignment horizontal="center" readingOrder="0" shrinkToFit="0" wrapText="0"/>
    </xf>
    <xf borderId="0" fillId="0" fontId="1" numFmtId="0" xfId="0" applyAlignment="1" applyFont="1">
      <alignment readingOrder="0"/>
    </xf>
    <xf borderId="1" fillId="0" fontId="1" numFmtId="0" xfId="0" applyAlignment="1" applyBorder="1" applyFont="1">
      <alignment horizontal="center" readingOrder="0" shrinkToFit="0" vertical="center" wrapText="0"/>
    </xf>
    <xf borderId="1" fillId="6" fontId="4" numFmtId="165" xfId="0" applyAlignment="1" applyBorder="1" applyFill="1" applyFont="1" applyNumberFormat="1">
      <alignment horizontal="center" readingOrder="0" shrinkToFit="0" vertical="center" wrapText="1"/>
    </xf>
    <xf borderId="2" fillId="0" fontId="1" numFmtId="0" xfId="0" applyAlignment="1" applyBorder="1" applyFont="1">
      <alignment horizontal="center" readingOrder="0" shrinkToFit="0" vertical="center" wrapText="0"/>
    </xf>
    <xf borderId="1" fillId="0" fontId="3" numFmtId="0" xfId="0" applyAlignment="1" applyBorder="1" applyFont="1">
      <alignment horizontal="center" shrinkToFit="0" vertical="center" wrapText="0"/>
    </xf>
    <xf borderId="0" fillId="3" fontId="9" numFmtId="0" xfId="0" applyAlignment="1" applyFill="1" applyFont="1">
      <alignment horizontal="center" shrinkToFit="0" wrapText="0"/>
    </xf>
    <xf borderId="0" fillId="5" fontId="9" numFmtId="0" xfId="0" applyAlignment="1" applyFill="1" applyFont="1">
      <alignment horizontal="center" shrinkToFit="0" wrapText="0"/>
    </xf>
    <xf borderId="0" fillId="3" fontId="10" numFmtId="0" xfId="0" applyAlignment="1" applyFill="1" applyFont="1">
      <alignment horizontal="center" readingOrder="0" shrinkToFit="0" wrapText="0"/>
    </xf>
    <xf borderId="0" fillId="7" fontId="10" numFmtId="0" xfId="0" applyAlignment="1" applyFill="1" applyFont="1">
      <alignment horizontal="center" readingOrder="0" shrinkToFit="0" wrapText="0"/>
    </xf>
    <xf borderId="0" fillId="3" fontId="10" numFmtId="0" xfId="0" applyAlignment="1" applyFill="1" applyFont="1">
      <alignment horizontal="center" shrinkToFit="0" wrapText="0"/>
    </xf>
    <xf borderId="0" fillId="7" fontId="10" numFmtId="0" xfId="0" applyAlignment="1" applyFill="1" applyFont="1">
      <alignment horizontal="center" shrinkToFit="0" wrapText="0"/>
    </xf>
    <xf borderId="0" fillId="3" fontId="11" numFmtId="0" xfId="0" applyAlignment="1" applyFill="1" applyFont="1">
      <alignment horizontal="center" readingOrder="0" shrinkToFit="0" wrapText="0"/>
    </xf>
    <xf borderId="0" fillId="8" fontId="11" numFmtId="0" xfId="0" applyAlignment="1" applyFill="1" applyFont="1">
      <alignment horizontal="center" readingOrder="0" shrinkToFit="0" wrapText="0"/>
    </xf>
    <xf borderId="2" fillId="0" fontId="1" numFmtId="0" xfId="0" applyAlignment="1" applyBorder="1" applyFont="1">
      <alignment horizontal="center" readingOrder="0" shrinkToFit="0" vertical="center" wrapText="1"/>
    </xf>
    <xf borderId="0" fillId="3" fontId="11" numFmtId="0" xfId="0" applyAlignment="1" applyFill="1" applyFont="1">
      <alignment horizontal="center" shrinkToFit="0" wrapText="0"/>
    </xf>
    <xf borderId="0" fillId="8" fontId="11" numFmtId="0" xfId="0" applyAlignment="1" applyFill="1" applyFont="1">
      <alignment horizontal="center" shrinkToFit="0" wrapText="0"/>
    </xf>
    <xf borderId="1" fillId="0" fontId="4" numFmtId="165" xfId="0" applyAlignment="1" applyBorder="1" applyFont="1" applyNumberFormat="1">
      <alignment horizontal="center" readingOrder="0" shrinkToFit="0" vertical="bottom" wrapText="0"/>
    </xf>
    <xf borderId="0" fillId="9" fontId="10" numFmtId="0" xfId="0" applyAlignment="1" applyFill="1" applyFont="1">
      <alignment horizontal="center" readingOrder="0" shrinkToFit="0" wrapText="0"/>
    </xf>
    <xf borderId="2" fillId="0" fontId="1" numFmtId="0" xfId="0" applyAlignment="1" applyBorder="1" applyFont="1">
      <alignment horizontal="center" readingOrder="0" shrinkToFit="0" vertical="center" wrapText="0"/>
    </xf>
    <xf borderId="1" fillId="6" fontId="1" numFmtId="0" xfId="0" applyAlignment="1" applyBorder="1" applyFill="1" applyFont="1">
      <alignment horizontal="center" readingOrder="0" shrinkToFit="0" vertical="center" wrapText="0"/>
    </xf>
    <xf borderId="1" fillId="0" fontId="1" numFmtId="0" xfId="0" applyAlignment="1" applyBorder="1" applyFont="1">
      <alignment horizontal="center" readingOrder="0" shrinkToFit="0" vertical="center" wrapText="0"/>
    </xf>
    <xf borderId="1" fillId="2" fontId="4" numFmtId="0" xfId="0" applyAlignment="1" applyBorder="1" applyFill="1" applyFont="1">
      <alignment horizontal="center" readingOrder="0" shrinkToFit="0" vertical="center" wrapText="0"/>
    </xf>
    <xf borderId="1" fillId="0" fontId="4" numFmtId="0" xfId="0" applyAlignment="1" applyBorder="1" applyFont="1">
      <alignment horizontal="center" shrinkToFit="0" vertical="center" wrapText="0"/>
    </xf>
    <xf borderId="1" fillId="0" fontId="2" numFmtId="0" xfId="0" applyAlignment="1" applyBorder="1" applyFont="1">
      <alignment horizontal="center" readingOrder="0" shrinkToFit="0" vertical="center" wrapText="0"/>
    </xf>
    <xf borderId="1" fillId="6" fontId="4" numFmtId="165" xfId="0" applyAlignment="1" applyBorder="1" applyFill="1" applyFont="1" applyNumberFormat="1">
      <alignment horizontal="center" shrinkToFit="0" vertical="center" wrapText="1"/>
    </xf>
    <xf borderId="1" fillId="0" fontId="5" numFmtId="0" xfId="0" applyAlignment="1" applyBorder="1" applyFont="1">
      <alignment horizontal="center" readingOrder="0" shrinkToFit="0" vertical="center" wrapText="0"/>
    </xf>
    <xf borderId="2" fillId="0" fontId="5" numFmtId="0" xfId="0" applyAlignment="1" applyBorder="1" applyFont="1">
      <alignment horizontal="center" readingOrder="0" shrinkToFit="0" vertical="center" wrapText="0"/>
    </xf>
    <xf borderId="1" fillId="3" fontId="4" numFmtId="165" xfId="0" applyAlignment="1" applyBorder="1" applyFill="1" applyFont="1" applyNumberFormat="1">
      <alignment horizontal="center" shrinkToFit="0" vertical="center" wrapText="1"/>
    </xf>
    <xf borderId="1" fillId="3" fontId="1" numFmtId="0" xfId="0" applyAlignment="1" applyBorder="1" applyFill="1" applyFont="1">
      <alignment horizontal="center" readingOrder="0" shrinkToFit="0" vertical="center" wrapText="0"/>
    </xf>
    <xf borderId="3" fillId="0" fontId="1" numFmtId="165" xfId="0" applyAlignment="1" applyBorder="1" applyFont="1" applyNumberFormat="1">
      <alignment horizontal="center" readingOrder="0" shrinkToFit="0" vertical="center" wrapText="0"/>
    </xf>
    <xf borderId="1" fillId="0" fontId="1" numFmtId="0" xfId="0" applyAlignment="1" applyBorder="1" applyFont="1">
      <alignment horizontal="center" readingOrder="0" shrinkToFit="0" vertical="center" wrapText="1"/>
    </xf>
    <xf borderId="3" fillId="0" fontId="4" numFmtId="165" xfId="0" applyAlignment="1" applyBorder="1" applyFont="1" applyNumberFormat="1">
      <alignment horizontal="center" readingOrder="0" shrinkToFit="0" vertical="bottom" wrapText="0"/>
    </xf>
    <xf borderId="3" fillId="3" fontId="1" numFmtId="165" xfId="0" applyAlignment="1" applyBorder="1" applyFill="1" applyFont="1" applyNumberFormat="1">
      <alignment horizontal="center" readingOrder="0" shrinkToFit="0" vertical="center" wrapText="0"/>
    </xf>
    <xf borderId="1" fillId="7" fontId="12" numFmtId="0" xfId="0" applyAlignment="1" applyBorder="1" applyFill="1" applyFont="1">
      <alignment horizontal="center" readingOrder="0" shrinkToFit="0" vertical="center" wrapText="0"/>
    </xf>
    <xf borderId="1" fillId="2" fontId="5" numFmtId="0" xfId="0" applyAlignment="1" applyBorder="1" applyFill="1" applyFont="1">
      <alignment horizontal="center" readingOrder="0" shrinkToFit="0" vertical="center" wrapText="0"/>
    </xf>
    <xf borderId="3" fillId="0" fontId="1" numFmtId="165" xfId="0" applyAlignment="1" applyBorder="1" applyFont="1" applyNumberFormat="1">
      <alignment horizontal="center" readingOrder="0" shrinkToFit="0" vertical="center" wrapText="0"/>
    </xf>
    <xf borderId="1" fillId="0" fontId="4" numFmtId="0" xfId="0" applyAlignment="1" applyBorder="1" applyFont="1">
      <alignment horizontal="center" readingOrder="0" shrinkToFit="0" vertical="center" wrapText="0"/>
    </xf>
    <xf borderId="1" fillId="3" fontId="4" numFmtId="0" xfId="0" applyAlignment="1" applyBorder="1" applyFill="1" applyFont="1">
      <alignment horizontal="center" shrinkToFit="0" vertical="center" wrapText="1"/>
    </xf>
    <xf borderId="1" fillId="10" fontId="4" numFmtId="0" xfId="0" applyAlignment="1" applyBorder="1" applyFill="1" applyFont="1">
      <alignment horizontal="center" readingOrder="0" shrinkToFit="0" vertical="center" wrapText="1"/>
    </xf>
    <xf borderId="3" fillId="3" fontId="4" numFmtId="165" xfId="0" applyAlignment="1" applyBorder="1" applyFill="1" applyFont="1" applyNumberFormat="1">
      <alignment horizontal="center" readingOrder="0" shrinkToFit="0" vertical="center" wrapText="1"/>
    </xf>
    <xf borderId="2" fillId="0" fontId="1" numFmtId="0" xfId="0" applyAlignment="1" applyBorder="1" applyFont="1">
      <alignment horizontal="center" shrinkToFit="0" vertical="center" wrapText="0"/>
    </xf>
    <xf borderId="1" fillId="10" fontId="4" numFmtId="0" xfId="0" applyAlignment="1" applyBorder="1" applyFill="1" applyFont="1">
      <alignment horizontal="center" shrinkToFit="0" vertical="center" wrapText="1"/>
    </xf>
    <xf borderId="1" fillId="10" fontId="1" numFmtId="0" xfId="0" applyAlignment="1" applyBorder="1" applyFill="1" applyFont="1">
      <alignment horizontal="center" readingOrder="0" shrinkToFit="0" vertical="center" wrapText="1"/>
    </xf>
    <xf borderId="1" fillId="6" fontId="1" numFmtId="0" xfId="0" applyAlignment="1" applyBorder="1" applyFill="1" applyFont="1">
      <alignment horizontal="center" readingOrder="0" shrinkToFit="0" vertical="center" wrapText="1"/>
    </xf>
    <xf borderId="1" fillId="10" fontId="4" numFmtId="0" xfId="0" applyAlignment="1" applyBorder="1" applyFill="1" applyFont="1">
      <alignment horizontal="center" readingOrder="0" shrinkToFit="0" vertical="center" wrapText="0"/>
    </xf>
    <xf borderId="1" fillId="6" fontId="4" numFmtId="0" xfId="0" applyAlignment="1" applyBorder="1" applyFill="1" applyFont="1">
      <alignment horizontal="center" readingOrder="0" shrinkToFit="0" vertical="center" wrapText="1"/>
    </xf>
    <xf borderId="1" fillId="0" fontId="13" numFmtId="0" xfId="0" applyAlignment="1" applyBorder="1" applyFont="1">
      <alignment horizontal="center" readingOrder="0" shrinkToFit="0" vertical="center" wrapText="1"/>
    </xf>
    <xf borderId="0" fillId="0" fontId="1" numFmtId="0" xfId="0" applyAlignment="1" applyFont="1">
      <alignment horizontal="center" shrinkToFit="0" vertical="center" wrapText="0"/>
    </xf>
    <xf borderId="2" fillId="0" fontId="14" numFmtId="0" xfId="0" applyAlignment="1" applyBorder="1" applyFont="1">
      <alignment horizontal="center" readingOrder="0" shrinkToFit="0" vertical="center" wrapText="0"/>
    </xf>
    <xf borderId="2" fillId="3" fontId="15" numFmtId="0" xfId="0" applyAlignment="1" applyBorder="1" applyFill="1" applyFont="1">
      <alignment horizontal="center" readingOrder="0" shrinkToFit="0" vertical="center" wrapText="0"/>
    </xf>
    <xf borderId="0" fillId="0" fontId="1" numFmtId="0" xfId="0" applyAlignment="1" applyFont="1">
      <alignment horizontal="center"/>
    </xf>
    <xf borderId="0" fillId="0" fontId="3" numFmtId="0" xfId="0" applyAlignment="1" applyFont="1">
      <alignment horizontal="center"/>
    </xf>
    <xf borderId="0" fillId="0" fontId="1" numFmtId="0" xfId="0" applyFont="1"/>
  </cellXfs>
  <cellStyles count="1">
    <cellStyle xfId="0" name="Normal" builtinId="0"/>
  </cellStyles>
  <dxfs count="11">
    <dxf>
      <font/>
      <fill>
        <patternFill patternType="none"/>
      </fill>
      <border/>
    </dxf>
    <dxf>
      <font/>
      <fill>
        <patternFill patternType="solid">
          <fgColor rgb="FFFF001E"/>
          <bgColor rgb="FFFF001E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FF001E"/>
        </left>
        <right style="thin">
          <color rgb="FFFF001E"/>
        </right>
        <top style="thin">
          <color rgb="FFFF001E"/>
        </top>
        <bottom style="thin">
          <color rgb="FFFF001E"/>
        </bottom>
      </border>
    </dxf>
    <dxf>
      <font>
        <b/>
      </font>
      <fill>
        <patternFill patternType="solid">
          <fgColor rgb="FF66FF33"/>
          <bgColor rgb="FF66FF33"/>
        </patternFill>
      </fill>
      <border/>
    </dxf>
    <dxf>
      <font>
        <b/>
        <color theme="0"/>
      </font>
      <fill>
        <patternFill patternType="solid">
          <fgColor rgb="FFFF0000"/>
          <bgColor rgb="FFFF0000"/>
        </patternFill>
      </fill>
      <border/>
    </dxf>
    <dxf>
      <font>
        <b/>
      </font>
      <fill>
        <patternFill patternType="solid">
          <fgColor rgb="FFFF001E"/>
          <bgColor rgb="FFFF001E"/>
        </patternFill>
      </fill>
      <border/>
    </dxf>
    <dxf>
      <font>
        <b/>
      </font>
      <fill>
        <patternFill patternType="solid">
          <fgColor rgb="FF00FF00"/>
          <bgColor rgb="FF00FF00"/>
        </patternFill>
      </fill>
      <border/>
    </dxf>
    <dxf>
      <font>
        <b/>
      </font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</dxfs>
  <tableStyles count="4">
    <tableStyle count="4" pivot="0" name="Base FLUJOTV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Base NETFLIX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2" pivot="0" name="Base NETFLIX-style 2">
      <tableStyleElement dxfId="2" type="firstRowStripe"/>
      <tableStyleElement dxfId="3" type="secondRowStripe"/>
    </tableStyle>
    <tableStyle count="2" pivot="0" name="Base FLUJOTV-style 2"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P97" displayName="FLUJOTV" name="FLUJOTV" id="1">
  <autoFilter ref="$A$1:$P$97"/>
  <tableColumns count="16">
    <tableColumn name="CORREO" id="1"/>
    <tableColumn name="CONTRASEÑA" id="2"/>
    <tableColumn name="PERFIL" id="3"/>
    <tableColumn name="FECHA DE INICIO" id="4"/>
    <tableColumn name="FECHA QUE ACABA" id="5"/>
    <tableColumn name="DIAS" id="6"/>
    <tableColumn name="ESTATUS" id="7"/>
    <tableColumn name="NOMBRE" id="8"/>
    <tableColumn name="MONTO" id="9"/>
    <tableColumn name="BANCO" id="10"/>
    <tableColumn name="REFF" id="11"/>
    <tableColumn name="ESTADO" id="12"/>
    <tableColumn name="NUMERO" id="13"/>
    <tableColumn name="ACOTACION" id="14"/>
    <tableColumn name="ESTADO D" id="15"/>
    <tableColumn name="PAIS" id="16"/>
  </tableColumns>
  <tableStyleInfo name="Base FLUJOTV-style" showColumnStripes="0" showFirstColumn="1" showLastColumn="1" showRowStripes="1"/>
</table>
</file>

<file path=xl/tables/table2.xml><?xml version="1.0" encoding="utf-8"?>
<table xmlns="http://schemas.openxmlformats.org/spreadsheetml/2006/main" headerRowCount="0" ref="A100:C100" displayName="Table_2" name="Table_2" id="4">
  <tableColumns count="3">
    <tableColumn name="Column1" id="1"/>
    <tableColumn name="Column2" id="2"/>
    <tableColumn name="Column3" id="3"/>
  </tableColumns>
  <tableStyleInfo name="Base FLUJOTV-style 2" showColumnStripes="0" showFirstColumn="1" showLastColumn="1" showRowStripes="1"/>
</table>
</file>

<file path=xl/tables/table3.xml><?xml version="1.0" encoding="utf-8"?>
<table xmlns="http://schemas.openxmlformats.org/spreadsheetml/2006/main" ref="A1:P97" displayName="NETFLIX" name="NETFLIX" id="2">
  <autoFilter ref="$A$1:$P$97"/>
  <tableColumns count="16">
    <tableColumn name="CORREO" id="1"/>
    <tableColumn name="CONTRASEÑA" id="2"/>
    <tableColumn name="PERFIL" id="3"/>
    <tableColumn name="FECHA DE INICIO" id="4"/>
    <tableColumn name="FECHA QUE ACABA" id="5"/>
    <tableColumn name="DIAS" id="6"/>
    <tableColumn name="ESTATUS" id="7"/>
    <tableColumn name="NOMBRE" id="8"/>
    <tableColumn name="MONTO" id="9"/>
    <tableColumn name="BANCO" id="10"/>
    <tableColumn name="REFF" id="11"/>
    <tableColumn name="ESTADO" id="12"/>
    <tableColumn name="NUMERO" id="13"/>
    <tableColumn name="ACOTACION" id="14"/>
    <tableColumn name="ESTADO D" id="15"/>
    <tableColumn name="PAIS" id="16"/>
  </tableColumns>
  <tableStyleInfo name="Base NETFLIX-style" showColumnStripes="0" showFirstColumn="1" showLastColumn="1" showRowStripes="1"/>
</table>
</file>

<file path=xl/tables/table4.xml><?xml version="1.0" encoding="utf-8"?>
<table xmlns="http://schemas.openxmlformats.org/spreadsheetml/2006/main" headerRowCount="0" ref="A100:C100" displayName="Table_1" name="Table_1" id="3">
  <tableColumns count="3">
    <tableColumn name="Column1" id="1"/>
    <tableColumn name="Column2" id="2"/>
    <tableColumn name="Column3" id="3"/>
  </tableColumns>
  <tableStyleInfo name="Base NETFLIX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4" Type="http://schemas.openxmlformats.org/officeDocument/2006/relationships/table" Target="../tables/table3.xml"/><Relationship Id="rId5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7.0"/>
    <col customWidth="1" min="2" max="2" width="18.88"/>
    <col customWidth="1" min="3" max="4" width="22.63"/>
    <col customWidth="1" min="5" max="5" width="23.5"/>
    <col customWidth="1" min="6" max="6" width="22.63"/>
    <col customWidth="1" min="7" max="7" width="16.13"/>
    <col customWidth="1" min="8" max="8" width="19.63"/>
    <col customWidth="1" min="9" max="9" width="14.63"/>
    <col customWidth="1" min="10" max="10" width="14.38"/>
    <col customWidth="1" min="11" max="11" width="12.63"/>
    <col customWidth="1" min="12" max="12" width="15.25"/>
    <col customWidth="1" min="13" max="13" width="15.13"/>
    <col customWidth="1" min="14" max="14" width="22.88"/>
  </cols>
  <sheetData>
    <row r="1" ht="22.5" customHeight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5" t="s">
        <v>13</v>
      </c>
      <c r="O1" s="6" t="s">
        <v>14</v>
      </c>
      <c r="P1" s="7" t="s">
        <v>15</v>
      </c>
    </row>
    <row r="2" ht="22.5" customHeight="1">
      <c r="A2" s="8" t="s">
        <v>16</v>
      </c>
      <c r="B2" s="10" t="s">
        <v>18</v>
      </c>
      <c r="C2" s="12" t="s">
        <v>20</v>
      </c>
      <c r="D2" s="14">
        <v>46254.0</v>
      </c>
      <c r="E2" s="15">
        <v>46272.0</v>
      </c>
      <c r="F2" s="16">
        <f t="shared" ref="F2:F97" si="1">E2-$X$2</f>
        <v>2</v>
      </c>
      <c r="G2" s="17" t="str">
        <f t="shared" ref="G2:G97" si="2">IF(F2&lt;=0,$W$9,IF(F2&lt;=$X$7,$W$11,$W$16))</f>
        <v>POR VENCER</v>
      </c>
      <c r="H2" s="8" t="s">
        <v>22</v>
      </c>
      <c r="I2" s="18">
        <v>5.0</v>
      </c>
      <c r="J2" s="20"/>
      <c r="K2" s="21"/>
      <c r="L2" s="8" t="s">
        <v>24</v>
      </c>
      <c r="M2" s="8">
        <v>4.145460657E9</v>
      </c>
      <c r="N2" s="12"/>
      <c r="O2" s="22"/>
      <c r="P2" s="23" t="s">
        <v>26</v>
      </c>
      <c r="X2" s="25">
        <f>TODAY()</f>
        <v>46270</v>
      </c>
    </row>
    <row r="3" ht="22.5" customHeight="1">
      <c r="A3" s="8" t="s">
        <v>16</v>
      </c>
      <c r="B3" s="27" t="s">
        <v>28</v>
      </c>
      <c r="C3" s="12" t="s">
        <v>20</v>
      </c>
      <c r="D3" s="15">
        <v>46262.0</v>
      </c>
      <c r="E3" s="15">
        <v>46293.0</v>
      </c>
      <c r="F3" s="16">
        <f t="shared" si="1"/>
        <v>23</v>
      </c>
      <c r="G3" s="17" t="str">
        <f t="shared" si="2"/>
        <v>VIGENTE</v>
      </c>
      <c r="H3" s="29" t="s">
        <v>29</v>
      </c>
      <c r="I3" s="18">
        <v>5.0</v>
      </c>
      <c r="J3" s="20"/>
      <c r="K3" s="21"/>
      <c r="L3" s="29" t="s">
        <v>32</v>
      </c>
      <c r="M3" s="29">
        <v>4.241302911E9</v>
      </c>
      <c r="N3" s="12"/>
      <c r="O3" s="22"/>
      <c r="P3" s="23" t="s">
        <v>26</v>
      </c>
    </row>
    <row r="4" ht="22.5" customHeight="1">
      <c r="A4" s="8" t="s">
        <v>16</v>
      </c>
      <c r="B4" s="10" t="s">
        <v>34</v>
      </c>
      <c r="C4" s="12" t="s">
        <v>20</v>
      </c>
      <c r="D4" s="15">
        <v>46267.0</v>
      </c>
      <c r="E4" s="15">
        <v>46299.0</v>
      </c>
      <c r="F4" s="16">
        <f t="shared" si="1"/>
        <v>29</v>
      </c>
      <c r="G4" s="17" t="str">
        <f t="shared" si="2"/>
        <v>VIGENTE</v>
      </c>
      <c r="H4" s="8" t="s">
        <v>35</v>
      </c>
      <c r="I4" s="18">
        <v>5.0</v>
      </c>
      <c r="J4" s="20"/>
      <c r="K4" s="21"/>
      <c r="L4" s="8" t="s">
        <v>32</v>
      </c>
      <c r="M4" s="33">
        <v>4.128053264E9</v>
      </c>
      <c r="N4" s="12"/>
      <c r="O4" s="22"/>
      <c r="P4" s="23" t="s">
        <v>26</v>
      </c>
    </row>
    <row r="5" ht="22.5" customHeight="1">
      <c r="A5" s="8" t="s">
        <v>37</v>
      </c>
      <c r="B5" s="10" t="s">
        <v>38</v>
      </c>
      <c r="C5" s="12" t="s">
        <v>20</v>
      </c>
      <c r="D5" s="14">
        <v>46252.0</v>
      </c>
      <c r="E5" s="14">
        <v>46267.0</v>
      </c>
      <c r="F5" s="16">
        <f t="shared" si="1"/>
        <v>-3</v>
      </c>
      <c r="G5" s="17" t="str">
        <f t="shared" si="2"/>
        <v>VENCIDO</v>
      </c>
      <c r="H5" s="8" t="s">
        <v>40</v>
      </c>
      <c r="I5" s="18">
        <v>5.0</v>
      </c>
      <c r="J5" s="20"/>
      <c r="K5" s="21"/>
      <c r="L5" s="8" t="s">
        <v>32</v>
      </c>
      <c r="M5" s="33">
        <v>4.145625955E9</v>
      </c>
      <c r="N5" s="12" t="s">
        <v>42</v>
      </c>
      <c r="O5" s="22"/>
      <c r="P5" s="23" t="s">
        <v>26</v>
      </c>
    </row>
    <row r="6" ht="22.5" customHeight="1">
      <c r="A6" s="8" t="s">
        <v>37</v>
      </c>
      <c r="B6" s="10" t="s">
        <v>45</v>
      </c>
      <c r="C6" s="12" t="s">
        <v>20</v>
      </c>
      <c r="D6" s="14">
        <v>46102.0</v>
      </c>
      <c r="E6" s="14">
        <v>46528.0</v>
      </c>
      <c r="F6" s="16">
        <f t="shared" si="1"/>
        <v>258</v>
      </c>
      <c r="G6" s="17" t="str">
        <f t="shared" si="2"/>
        <v>VIGENTE</v>
      </c>
      <c r="H6" s="29" t="s">
        <v>48</v>
      </c>
      <c r="I6" s="18">
        <v>9.0</v>
      </c>
      <c r="J6" s="20"/>
      <c r="K6" s="21"/>
      <c r="L6" s="8" t="s">
        <v>31</v>
      </c>
      <c r="M6" s="8">
        <v>1.8174487435E10</v>
      </c>
      <c r="N6" s="12"/>
      <c r="O6" s="22"/>
      <c r="P6" s="23"/>
    </row>
    <row r="7" ht="22.5" customHeight="1">
      <c r="A7" s="8" t="s">
        <v>37</v>
      </c>
      <c r="B7" s="10" t="s">
        <v>34</v>
      </c>
      <c r="C7" s="12" t="s">
        <v>20</v>
      </c>
      <c r="D7" s="14">
        <v>45260.0</v>
      </c>
      <c r="E7" s="14">
        <v>46629.0</v>
      </c>
      <c r="F7" s="16">
        <f t="shared" si="1"/>
        <v>359</v>
      </c>
      <c r="G7" s="17" t="str">
        <f t="shared" si="2"/>
        <v>VIGENTE</v>
      </c>
      <c r="H7" s="8" t="s">
        <v>30</v>
      </c>
      <c r="I7" s="18">
        <v>9.0</v>
      </c>
      <c r="J7" s="20"/>
      <c r="K7" s="21"/>
      <c r="L7" s="8" t="s">
        <v>31</v>
      </c>
      <c r="M7" s="8">
        <v>1.6124418159E10</v>
      </c>
      <c r="N7" s="12" t="s">
        <v>53</v>
      </c>
      <c r="O7" s="22"/>
      <c r="P7" s="23"/>
      <c r="V7" s="37"/>
      <c r="W7" s="38" t="s">
        <v>56</v>
      </c>
      <c r="X7" s="39">
        <v>2.0</v>
      </c>
    </row>
    <row r="8" ht="22.5" customHeight="1">
      <c r="A8" s="8" t="s">
        <v>60</v>
      </c>
      <c r="B8" s="10" t="s">
        <v>45</v>
      </c>
      <c r="C8" s="12" t="s">
        <v>20</v>
      </c>
      <c r="D8" s="41">
        <v>46254.0</v>
      </c>
      <c r="E8" s="15">
        <v>46286.0</v>
      </c>
      <c r="F8" s="16">
        <f t="shared" si="1"/>
        <v>16</v>
      </c>
      <c r="G8" s="17" t="str">
        <f t="shared" si="2"/>
        <v>VIGENTE</v>
      </c>
      <c r="H8" s="8" t="s">
        <v>61</v>
      </c>
      <c r="I8" s="18">
        <v>9.0</v>
      </c>
      <c r="J8" s="20"/>
      <c r="K8" s="21"/>
      <c r="L8" s="8" t="s">
        <v>31</v>
      </c>
      <c r="M8" s="8">
        <v>1.407715726E10</v>
      </c>
      <c r="N8" s="12"/>
      <c r="O8" s="22"/>
      <c r="P8" s="43"/>
      <c r="V8" s="44"/>
      <c r="W8" s="45"/>
    </row>
    <row r="9" ht="22.5" customHeight="1">
      <c r="A9" s="8" t="s">
        <v>60</v>
      </c>
      <c r="B9" s="10" t="s">
        <v>64</v>
      </c>
      <c r="C9" s="12" t="s">
        <v>20</v>
      </c>
      <c r="D9" s="41">
        <v>46257.0</v>
      </c>
      <c r="E9" s="14">
        <v>46288.0</v>
      </c>
      <c r="F9" s="16">
        <f t="shared" si="1"/>
        <v>18</v>
      </c>
      <c r="G9" s="17" t="str">
        <f t="shared" si="2"/>
        <v>VIGENTE</v>
      </c>
      <c r="H9" s="29" t="s">
        <v>66</v>
      </c>
      <c r="I9" s="18">
        <v>9.0</v>
      </c>
      <c r="J9" s="20"/>
      <c r="K9" s="21"/>
      <c r="L9" s="8" t="s">
        <v>31</v>
      </c>
      <c r="M9" s="8">
        <v>4.242196016E9</v>
      </c>
      <c r="N9" s="12"/>
      <c r="O9" s="22"/>
      <c r="P9" s="43"/>
      <c r="V9" s="46"/>
      <c r="W9" s="47" t="s">
        <v>68</v>
      </c>
    </row>
    <row r="10" ht="22.5" customHeight="1">
      <c r="A10" s="8" t="s">
        <v>60</v>
      </c>
      <c r="B10" s="10" t="s">
        <v>38</v>
      </c>
      <c r="C10" s="12" t="s">
        <v>20</v>
      </c>
      <c r="D10" s="41">
        <v>46221.0</v>
      </c>
      <c r="E10" s="14">
        <v>46648.0</v>
      </c>
      <c r="F10" s="16">
        <f t="shared" si="1"/>
        <v>378</v>
      </c>
      <c r="G10" s="17" t="str">
        <f t="shared" si="2"/>
        <v>VIGENTE</v>
      </c>
      <c r="H10" s="29" t="s">
        <v>66</v>
      </c>
      <c r="I10" s="18">
        <v>9.0</v>
      </c>
      <c r="J10" s="20"/>
      <c r="K10" s="21"/>
      <c r="L10" s="8" t="s">
        <v>31</v>
      </c>
      <c r="M10" s="8">
        <v>4.242196016E9</v>
      </c>
      <c r="N10" s="12"/>
      <c r="O10" s="22"/>
      <c r="P10" s="23"/>
      <c r="V10" s="48"/>
      <c r="W10" s="49"/>
    </row>
    <row r="11" ht="22.5" customHeight="1">
      <c r="A11" s="8" t="s">
        <v>69</v>
      </c>
      <c r="B11" s="10" t="s">
        <v>34</v>
      </c>
      <c r="C11" s="12" t="s">
        <v>70</v>
      </c>
      <c r="D11" s="15">
        <v>46240.0</v>
      </c>
      <c r="E11" s="15">
        <v>46267.0</v>
      </c>
      <c r="F11" s="16">
        <f t="shared" si="1"/>
        <v>-3</v>
      </c>
      <c r="G11" s="17" t="str">
        <f t="shared" si="2"/>
        <v>VENCIDO</v>
      </c>
      <c r="H11" s="8" t="s">
        <v>71</v>
      </c>
      <c r="I11" s="18">
        <v>9.0</v>
      </c>
      <c r="J11" s="20"/>
      <c r="K11" s="21"/>
      <c r="L11" s="8" t="s">
        <v>51</v>
      </c>
      <c r="M11" s="8">
        <v>3.4674003172E10</v>
      </c>
      <c r="N11" s="30"/>
      <c r="O11" s="22" t="str">
        <f t="array" ref="O11:O35">IF(A11:A168="", "", IF(M11:M168&lt;&gt;"", "OCUPADO", "DISPONIBLE"))</f>
        <v>#REF!</v>
      </c>
      <c r="P11" s="23" t="s">
        <v>26</v>
      </c>
      <c r="V11" s="50"/>
      <c r="W11" s="51" t="s">
        <v>72</v>
      </c>
    </row>
    <row r="12" ht="22.5" customHeight="1">
      <c r="A12" s="8" t="s">
        <v>80</v>
      </c>
      <c r="B12" s="10" t="s">
        <v>38</v>
      </c>
      <c r="C12" s="12" t="s">
        <v>70</v>
      </c>
      <c r="D12" s="41">
        <v>45483.0</v>
      </c>
      <c r="E12" s="15">
        <v>46272.0</v>
      </c>
      <c r="F12" s="16">
        <f t="shared" si="1"/>
        <v>2</v>
      </c>
      <c r="G12" s="17" t="str">
        <f t="shared" si="2"/>
        <v>POR VENCER</v>
      </c>
      <c r="H12" s="8" t="s">
        <v>81</v>
      </c>
      <c r="I12" s="18">
        <v>9.0</v>
      </c>
      <c r="J12" s="20"/>
      <c r="K12" s="21"/>
      <c r="L12" s="8" t="s">
        <v>32</v>
      </c>
      <c r="M12" s="8">
        <v>4.242011715E9</v>
      </c>
      <c r="N12" s="12"/>
      <c r="O12" s="22"/>
      <c r="P12" s="23" t="s">
        <v>26</v>
      </c>
      <c r="V12" s="53"/>
      <c r="W12" s="54"/>
    </row>
    <row r="13" ht="22.5" customHeight="1">
      <c r="A13" s="8" t="s">
        <v>83</v>
      </c>
      <c r="B13" s="10" t="s">
        <v>45</v>
      </c>
      <c r="C13" s="12" t="s">
        <v>70</v>
      </c>
      <c r="D13" s="15">
        <v>46246.0</v>
      </c>
      <c r="E13" s="15">
        <v>46272.0</v>
      </c>
      <c r="F13" s="16">
        <f t="shared" si="1"/>
        <v>2</v>
      </c>
      <c r="G13" s="17" t="str">
        <f t="shared" si="2"/>
        <v>POR VENCER</v>
      </c>
      <c r="H13" s="8" t="s">
        <v>86</v>
      </c>
      <c r="I13" s="18">
        <v>9.0</v>
      </c>
      <c r="J13" s="20"/>
      <c r="K13" s="21"/>
      <c r="L13" s="8" t="s">
        <v>51</v>
      </c>
      <c r="M13" s="8" t="s">
        <v>87</v>
      </c>
      <c r="N13" s="12" t="s">
        <v>44</v>
      </c>
      <c r="O13" s="22"/>
      <c r="P13" s="23" t="s">
        <v>26</v>
      </c>
      <c r="V13" s="53"/>
      <c r="W13" s="54"/>
    </row>
    <row r="14" ht="22.5" customHeight="1">
      <c r="A14" s="8" t="s">
        <v>91</v>
      </c>
      <c r="B14" s="10" t="s">
        <v>64</v>
      </c>
      <c r="C14" s="12" t="s">
        <v>70</v>
      </c>
      <c r="D14" s="15">
        <v>46246.0</v>
      </c>
      <c r="E14" s="15">
        <v>46277.0</v>
      </c>
      <c r="F14" s="16">
        <f t="shared" si="1"/>
        <v>7</v>
      </c>
      <c r="G14" s="17" t="str">
        <f t="shared" si="2"/>
        <v>VIGENTE</v>
      </c>
      <c r="H14" s="29" t="s">
        <v>92</v>
      </c>
      <c r="I14" s="18">
        <v>9.0</v>
      </c>
      <c r="J14" s="20"/>
      <c r="K14" s="21"/>
      <c r="L14" s="8" t="s">
        <v>32</v>
      </c>
      <c r="M14" s="8" t="s">
        <v>93</v>
      </c>
      <c r="N14" s="12" t="s">
        <v>44</v>
      </c>
      <c r="O14" s="22"/>
      <c r="P14" s="23" t="s">
        <v>26</v>
      </c>
      <c r="V14" s="53"/>
      <c r="W14" s="54"/>
    </row>
    <row r="15" ht="22.5" customHeight="1">
      <c r="A15" s="8" t="s">
        <v>96</v>
      </c>
      <c r="B15" s="10" t="s">
        <v>97</v>
      </c>
      <c r="C15" s="12" t="s">
        <v>70</v>
      </c>
      <c r="D15" s="41">
        <v>46248.0</v>
      </c>
      <c r="E15" s="15">
        <v>46266.0</v>
      </c>
      <c r="F15" s="16">
        <f t="shared" si="1"/>
        <v>-4</v>
      </c>
      <c r="G15" s="17" t="str">
        <f t="shared" si="2"/>
        <v>VENCIDO</v>
      </c>
      <c r="H15" s="29" t="s">
        <v>98</v>
      </c>
      <c r="I15" s="18">
        <v>9.0</v>
      </c>
      <c r="J15" s="20"/>
      <c r="K15" s="21"/>
      <c r="L15" s="8" t="s">
        <v>32</v>
      </c>
      <c r="M15" s="29">
        <v>4.241797418E9</v>
      </c>
      <c r="N15" s="12"/>
      <c r="O15" s="22"/>
      <c r="P15" s="23" t="s">
        <v>26</v>
      </c>
      <c r="V15" s="53"/>
      <c r="W15" s="54"/>
    </row>
    <row r="16" ht="22.5" customHeight="1">
      <c r="A16" s="8" t="s">
        <v>100</v>
      </c>
      <c r="B16" s="10" t="s">
        <v>101</v>
      </c>
      <c r="C16" s="12" t="s">
        <v>70</v>
      </c>
      <c r="D16" s="41">
        <v>46248.0</v>
      </c>
      <c r="E16" s="14">
        <v>46279.0</v>
      </c>
      <c r="F16" s="16">
        <f t="shared" si="1"/>
        <v>9</v>
      </c>
      <c r="G16" s="17" t="str">
        <f t="shared" si="2"/>
        <v>VIGENTE</v>
      </c>
      <c r="H16" s="8" t="s">
        <v>102</v>
      </c>
      <c r="I16" s="18">
        <v>9.0</v>
      </c>
      <c r="J16" s="20"/>
      <c r="K16" s="21"/>
      <c r="L16" s="8" t="s">
        <v>31</v>
      </c>
      <c r="M16" s="8">
        <v>1.6892963918E10</v>
      </c>
      <c r="N16" s="12"/>
      <c r="O16" s="22"/>
      <c r="P16" s="23" t="s">
        <v>26</v>
      </c>
      <c r="V16" s="46"/>
      <c r="W16" s="56" t="s">
        <v>90</v>
      </c>
    </row>
    <row r="17" ht="22.5" customHeight="1">
      <c r="A17" s="8" t="s">
        <v>105</v>
      </c>
      <c r="B17" s="27" t="s">
        <v>106</v>
      </c>
      <c r="C17" s="12" t="s">
        <v>70</v>
      </c>
      <c r="D17" s="41">
        <v>46249.0</v>
      </c>
      <c r="E17" s="15">
        <v>46280.0</v>
      </c>
      <c r="F17" s="16">
        <f t="shared" si="1"/>
        <v>10</v>
      </c>
      <c r="G17" s="17" t="str">
        <f t="shared" si="2"/>
        <v>VIGENTE</v>
      </c>
      <c r="H17" s="8" t="s">
        <v>108</v>
      </c>
      <c r="I17" s="18">
        <v>9.0</v>
      </c>
      <c r="J17" s="20"/>
      <c r="K17" s="21"/>
      <c r="L17" s="8" t="s">
        <v>109</v>
      </c>
      <c r="M17" s="8" t="s">
        <v>93</v>
      </c>
      <c r="N17" s="12"/>
      <c r="O17" s="22"/>
      <c r="P17" s="23" t="s">
        <v>26</v>
      </c>
    </row>
    <row r="18" ht="22.5" customHeight="1">
      <c r="A18" s="8" t="s">
        <v>112</v>
      </c>
      <c r="B18" s="60" t="s">
        <v>114</v>
      </c>
      <c r="C18" s="12" t="s">
        <v>70</v>
      </c>
      <c r="D18" s="15">
        <v>46252.0</v>
      </c>
      <c r="E18" s="15">
        <v>46280.0</v>
      </c>
      <c r="F18" s="16">
        <f t="shared" si="1"/>
        <v>10</v>
      </c>
      <c r="G18" s="17" t="str">
        <f t="shared" si="2"/>
        <v>VIGENTE</v>
      </c>
      <c r="H18" s="61" t="s">
        <v>115</v>
      </c>
      <c r="I18" s="18">
        <v>9.0</v>
      </c>
      <c r="J18" s="20"/>
      <c r="K18" s="21"/>
      <c r="L18" s="61" t="s">
        <v>116</v>
      </c>
      <c r="M18" s="61">
        <v>4.123829712E9</v>
      </c>
      <c r="N18" s="12"/>
      <c r="O18" s="22"/>
      <c r="P18" s="23" t="s">
        <v>26</v>
      </c>
    </row>
    <row r="19" ht="22.5" customHeight="1">
      <c r="A19" s="8" t="s">
        <v>118</v>
      </c>
      <c r="B19" s="10" t="s">
        <v>18</v>
      </c>
      <c r="C19" s="12" t="s">
        <v>70</v>
      </c>
      <c r="D19" s="14">
        <v>45853.0</v>
      </c>
      <c r="E19" s="14">
        <v>46280.0</v>
      </c>
      <c r="F19" s="16">
        <f t="shared" si="1"/>
        <v>10</v>
      </c>
      <c r="G19" s="17" t="str">
        <f t="shared" si="2"/>
        <v>VIGENTE</v>
      </c>
      <c r="H19" s="8" t="s">
        <v>119</v>
      </c>
      <c r="I19" s="18">
        <v>9.0</v>
      </c>
      <c r="J19" s="20"/>
      <c r="K19" s="21"/>
      <c r="L19" s="8" t="s">
        <v>120</v>
      </c>
      <c r="M19" s="8">
        <v>1.6892416333E10</v>
      </c>
      <c r="N19" s="12"/>
      <c r="O19" s="22"/>
      <c r="P19" s="23" t="s">
        <v>26</v>
      </c>
    </row>
    <row r="20" ht="22.5" customHeight="1">
      <c r="A20" s="8" t="s">
        <v>123</v>
      </c>
      <c r="B20" s="27" t="s">
        <v>28</v>
      </c>
      <c r="C20" s="12" t="s">
        <v>70</v>
      </c>
      <c r="D20" s="15">
        <v>46250.0</v>
      </c>
      <c r="E20" s="15">
        <v>46272.0</v>
      </c>
      <c r="F20" s="16">
        <f t="shared" si="1"/>
        <v>2</v>
      </c>
      <c r="G20" s="17" t="str">
        <f t="shared" si="2"/>
        <v>POR VENCER</v>
      </c>
      <c r="H20" s="8" t="s">
        <v>124</v>
      </c>
      <c r="I20" s="18">
        <v>9.0</v>
      </c>
      <c r="J20" s="20"/>
      <c r="K20" s="21"/>
      <c r="L20" s="8" t="s">
        <v>32</v>
      </c>
      <c r="M20" s="33">
        <v>4.143898246E9</v>
      </c>
      <c r="N20" s="12"/>
      <c r="O20" s="22"/>
      <c r="P20" s="23" t="s">
        <v>26</v>
      </c>
    </row>
    <row r="21" ht="22.5" customHeight="1">
      <c r="A21" s="8" t="s">
        <v>126</v>
      </c>
      <c r="B21" s="10" t="s">
        <v>127</v>
      </c>
      <c r="C21" s="12" t="s">
        <v>70</v>
      </c>
      <c r="D21" s="41">
        <v>46252.0</v>
      </c>
      <c r="E21" s="15">
        <v>46283.0</v>
      </c>
      <c r="F21" s="16">
        <f t="shared" si="1"/>
        <v>13</v>
      </c>
      <c r="G21" s="17" t="str">
        <f t="shared" si="2"/>
        <v>VIGENTE</v>
      </c>
      <c r="H21" s="29" t="s">
        <v>48</v>
      </c>
      <c r="I21" s="18">
        <v>9.0</v>
      </c>
      <c r="J21" s="20"/>
      <c r="K21" s="21"/>
      <c r="L21" s="8" t="s">
        <v>31</v>
      </c>
      <c r="M21" s="8">
        <v>1.8174487435E10</v>
      </c>
      <c r="N21" s="12"/>
      <c r="O21" s="22"/>
      <c r="P21" s="23" t="s">
        <v>26</v>
      </c>
    </row>
    <row r="22" ht="22.5" customHeight="1">
      <c r="A22" s="8" t="s">
        <v>130</v>
      </c>
      <c r="B22" s="27" t="s">
        <v>131</v>
      </c>
      <c r="C22" s="12" t="s">
        <v>70</v>
      </c>
      <c r="D22" s="15">
        <v>46253.0</v>
      </c>
      <c r="E22" s="15">
        <v>46284.0</v>
      </c>
      <c r="F22" s="16">
        <f t="shared" si="1"/>
        <v>14</v>
      </c>
      <c r="G22" s="17" t="str">
        <f t="shared" si="2"/>
        <v>VIGENTE</v>
      </c>
      <c r="H22" s="8" t="s">
        <v>30</v>
      </c>
      <c r="I22" s="18">
        <v>9.0</v>
      </c>
      <c r="J22" s="20"/>
      <c r="K22" s="21"/>
      <c r="L22" s="8" t="s">
        <v>31</v>
      </c>
      <c r="M22" s="8">
        <v>1.6124418159E10</v>
      </c>
      <c r="N22" s="12" t="s">
        <v>53</v>
      </c>
      <c r="O22" s="22"/>
      <c r="P22" s="23" t="s">
        <v>26</v>
      </c>
    </row>
    <row r="23" ht="22.5" customHeight="1">
      <c r="A23" s="8" t="s">
        <v>135</v>
      </c>
      <c r="B23" s="10" t="s">
        <v>34</v>
      </c>
      <c r="C23" s="12" t="s">
        <v>70</v>
      </c>
      <c r="D23" s="15">
        <v>46254.0</v>
      </c>
      <c r="E23" s="14">
        <v>46285.0</v>
      </c>
      <c r="F23" s="16">
        <f t="shared" si="1"/>
        <v>15</v>
      </c>
      <c r="G23" s="17" t="str">
        <f t="shared" si="2"/>
        <v>VIGENTE</v>
      </c>
      <c r="H23" s="29" t="s">
        <v>66</v>
      </c>
      <c r="I23" s="18">
        <v>9.0</v>
      </c>
      <c r="J23" s="20"/>
      <c r="K23" s="21"/>
      <c r="L23" s="8" t="s">
        <v>31</v>
      </c>
      <c r="M23" s="8">
        <v>4.242196016E9</v>
      </c>
      <c r="N23" s="12"/>
      <c r="O23" s="22"/>
      <c r="P23" s="23" t="s">
        <v>26</v>
      </c>
    </row>
    <row r="24" ht="22.5" customHeight="1">
      <c r="A24" s="8" t="s">
        <v>137</v>
      </c>
      <c r="B24" s="10" t="s">
        <v>38</v>
      </c>
      <c r="C24" s="12" t="s">
        <v>70</v>
      </c>
      <c r="D24" s="41">
        <v>46254.0</v>
      </c>
      <c r="E24" s="15">
        <v>46272.0</v>
      </c>
      <c r="F24" s="16">
        <f t="shared" si="1"/>
        <v>2</v>
      </c>
      <c r="G24" s="17" t="str">
        <f t="shared" si="2"/>
        <v>POR VENCER</v>
      </c>
      <c r="H24" s="8" t="s">
        <v>61</v>
      </c>
      <c r="I24" s="18">
        <v>9.0</v>
      </c>
      <c r="J24" s="20"/>
      <c r="K24" s="21"/>
      <c r="L24" s="8" t="s">
        <v>31</v>
      </c>
      <c r="M24" s="8">
        <v>1.407715726E10</v>
      </c>
      <c r="N24" s="12"/>
      <c r="O24" s="22"/>
      <c r="P24" s="23" t="s">
        <v>26</v>
      </c>
    </row>
    <row r="25" ht="22.5" customHeight="1">
      <c r="A25" s="8" t="s">
        <v>139</v>
      </c>
      <c r="B25" s="10" t="s">
        <v>45</v>
      </c>
      <c r="C25" s="12" t="s">
        <v>70</v>
      </c>
      <c r="D25" s="15">
        <v>46256.0</v>
      </c>
      <c r="E25" s="14">
        <v>46287.0</v>
      </c>
      <c r="F25" s="16">
        <f t="shared" si="1"/>
        <v>17</v>
      </c>
      <c r="G25" s="17" t="str">
        <f t="shared" si="2"/>
        <v>VIGENTE</v>
      </c>
      <c r="H25" s="29" t="s">
        <v>142</v>
      </c>
      <c r="I25" s="18">
        <v>9.0</v>
      </c>
      <c r="J25" s="20"/>
      <c r="K25" s="21"/>
      <c r="L25" s="8" t="s">
        <v>32</v>
      </c>
      <c r="M25" s="29">
        <v>4.142487259E9</v>
      </c>
      <c r="N25" s="12"/>
      <c r="O25" s="22"/>
      <c r="P25" s="23" t="s">
        <v>26</v>
      </c>
    </row>
    <row r="26" ht="22.5" customHeight="1">
      <c r="A26" s="8" t="s">
        <v>143</v>
      </c>
      <c r="B26" s="10" t="s">
        <v>64</v>
      </c>
      <c r="C26" s="12" t="s">
        <v>70</v>
      </c>
      <c r="D26" s="41">
        <v>46255.0</v>
      </c>
      <c r="E26" s="14">
        <v>46287.0</v>
      </c>
      <c r="F26" s="16">
        <f t="shared" si="1"/>
        <v>17</v>
      </c>
      <c r="G26" s="17" t="str">
        <f t="shared" si="2"/>
        <v>VIGENTE</v>
      </c>
      <c r="H26" s="29" t="s">
        <v>146</v>
      </c>
      <c r="I26" s="18">
        <v>9.0</v>
      </c>
      <c r="J26" s="20"/>
      <c r="K26" s="21"/>
      <c r="L26" s="8" t="s">
        <v>32</v>
      </c>
      <c r="M26" s="29">
        <v>4.129507785E9</v>
      </c>
      <c r="N26" s="12"/>
      <c r="O26" s="22"/>
      <c r="P26" s="23" t="s">
        <v>26</v>
      </c>
    </row>
    <row r="27" ht="22.5" customHeight="1">
      <c r="A27" s="8" t="s">
        <v>147</v>
      </c>
      <c r="B27" s="27" t="s">
        <v>106</v>
      </c>
      <c r="C27" s="12" t="s">
        <v>70</v>
      </c>
      <c r="D27" s="63">
        <v>45064.0</v>
      </c>
      <c r="E27" s="14">
        <v>46287.0</v>
      </c>
      <c r="F27" s="16">
        <f t="shared" si="1"/>
        <v>17</v>
      </c>
      <c r="G27" s="17" t="str">
        <f t="shared" si="2"/>
        <v>VIGENTE</v>
      </c>
      <c r="H27" s="29" t="s">
        <v>150</v>
      </c>
      <c r="I27" s="18">
        <v>9.0</v>
      </c>
      <c r="J27" s="20"/>
      <c r="K27" s="21"/>
      <c r="L27" s="8" t="s">
        <v>32</v>
      </c>
      <c r="M27" s="8" t="s">
        <v>151</v>
      </c>
      <c r="N27" s="12"/>
      <c r="O27" s="22"/>
      <c r="P27" s="23" t="s">
        <v>26</v>
      </c>
    </row>
    <row r="28" ht="22.5" customHeight="1">
      <c r="A28" s="8" t="s">
        <v>154</v>
      </c>
      <c r="B28" s="60" t="s">
        <v>114</v>
      </c>
      <c r="C28" s="12" t="s">
        <v>70</v>
      </c>
      <c r="D28" s="41">
        <v>45212.0</v>
      </c>
      <c r="E28" s="14">
        <v>46287.0</v>
      </c>
      <c r="F28" s="16">
        <f t="shared" si="1"/>
        <v>17</v>
      </c>
      <c r="G28" s="17" t="str">
        <f t="shared" si="2"/>
        <v>VIGENTE</v>
      </c>
      <c r="H28" s="29" t="s">
        <v>150</v>
      </c>
      <c r="I28" s="18">
        <v>9.0</v>
      </c>
      <c r="J28" s="20"/>
      <c r="K28" s="21"/>
      <c r="L28" s="8" t="s">
        <v>32</v>
      </c>
      <c r="M28" s="8" t="s">
        <v>151</v>
      </c>
      <c r="N28" s="12"/>
      <c r="O28" s="22"/>
      <c r="P28" s="23" t="s">
        <v>26</v>
      </c>
    </row>
    <row r="29" ht="22.5" customHeight="1">
      <c r="A29" s="8" t="s">
        <v>157</v>
      </c>
      <c r="B29" s="10" t="s">
        <v>18</v>
      </c>
      <c r="C29" s="12" t="s">
        <v>70</v>
      </c>
      <c r="D29" s="15">
        <v>46260.0</v>
      </c>
      <c r="E29" s="15">
        <v>46291.0</v>
      </c>
      <c r="F29" s="16">
        <f t="shared" si="1"/>
        <v>21</v>
      </c>
      <c r="G29" s="17" t="str">
        <f t="shared" si="2"/>
        <v>VIGENTE</v>
      </c>
      <c r="H29" s="8" t="s">
        <v>158</v>
      </c>
      <c r="I29" s="18">
        <v>9.0</v>
      </c>
      <c r="J29" s="20"/>
      <c r="K29" s="21"/>
      <c r="L29" s="8" t="s">
        <v>31</v>
      </c>
      <c r="M29" s="8">
        <v>1.5712631076E10</v>
      </c>
      <c r="N29" s="12" t="s">
        <v>122</v>
      </c>
      <c r="O29" s="22"/>
      <c r="P29" s="23" t="s">
        <v>26</v>
      </c>
    </row>
    <row r="30" ht="22.5" customHeight="1">
      <c r="A30" s="8" t="s">
        <v>161</v>
      </c>
      <c r="B30" s="27" t="s">
        <v>28</v>
      </c>
      <c r="C30" s="12" t="s">
        <v>70</v>
      </c>
      <c r="D30" s="15">
        <v>46256.0</v>
      </c>
      <c r="E30" s="15">
        <v>46291.0</v>
      </c>
      <c r="F30" s="16">
        <f t="shared" si="1"/>
        <v>21</v>
      </c>
      <c r="G30" s="17" t="str">
        <f t="shared" si="2"/>
        <v>VIGENTE</v>
      </c>
      <c r="H30" s="8" t="s">
        <v>162</v>
      </c>
      <c r="I30" s="18">
        <v>9.0</v>
      </c>
      <c r="J30" s="20"/>
      <c r="K30" s="21"/>
      <c r="L30" s="8" t="s">
        <v>164</v>
      </c>
      <c r="M30" s="8">
        <v>4.145452992E9</v>
      </c>
      <c r="N30" s="12"/>
      <c r="O30" s="22"/>
      <c r="P30" s="23" t="s">
        <v>26</v>
      </c>
    </row>
    <row r="31" ht="22.5" customHeight="1">
      <c r="A31" s="8" t="s">
        <v>165</v>
      </c>
      <c r="B31" s="10" t="s">
        <v>45</v>
      </c>
      <c r="C31" s="12" t="s">
        <v>70</v>
      </c>
      <c r="D31" s="66">
        <v>45072.0</v>
      </c>
      <c r="E31" s="14">
        <v>46291.0</v>
      </c>
      <c r="F31" s="16">
        <f t="shared" si="1"/>
        <v>21</v>
      </c>
      <c r="G31" s="17" t="str">
        <f t="shared" si="2"/>
        <v>VIGENTE</v>
      </c>
      <c r="H31" s="29" t="s">
        <v>167</v>
      </c>
      <c r="I31" s="18">
        <v>9.0</v>
      </c>
      <c r="J31" s="20"/>
      <c r="K31" s="21"/>
      <c r="L31" s="8" t="s">
        <v>32</v>
      </c>
      <c r="M31" s="8">
        <v>4.141294973E9</v>
      </c>
      <c r="N31" s="12"/>
      <c r="O31" s="22"/>
      <c r="P31" s="23" t="s">
        <v>26</v>
      </c>
    </row>
    <row r="32" ht="22.5" customHeight="1">
      <c r="A32" s="8" t="s">
        <v>170</v>
      </c>
      <c r="B32" s="10" t="s">
        <v>64</v>
      </c>
      <c r="C32" s="12" t="s">
        <v>70</v>
      </c>
      <c r="D32" s="15">
        <v>46259.0</v>
      </c>
      <c r="E32" s="15">
        <v>46292.0</v>
      </c>
      <c r="F32" s="16">
        <f t="shared" si="1"/>
        <v>22</v>
      </c>
      <c r="G32" s="17" t="str">
        <f t="shared" si="2"/>
        <v>VIGENTE</v>
      </c>
      <c r="H32" s="29" t="s">
        <v>172</v>
      </c>
      <c r="I32" s="18">
        <v>9.0</v>
      </c>
      <c r="J32" s="20"/>
      <c r="K32" s="21"/>
      <c r="L32" s="8" t="s">
        <v>32</v>
      </c>
      <c r="M32" s="29">
        <v>4.242372829E9</v>
      </c>
      <c r="N32" s="12"/>
      <c r="O32" s="22"/>
      <c r="P32" s="23" t="s">
        <v>26</v>
      </c>
    </row>
    <row r="33" ht="22.5" customHeight="1">
      <c r="A33" s="8" t="s">
        <v>173</v>
      </c>
      <c r="B33" s="27" t="s">
        <v>106</v>
      </c>
      <c r="C33" s="12" t="s">
        <v>70</v>
      </c>
      <c r="D33" s="15">
        <v>46265.0</v>
      </c>
      <c r="E33" s="15">
        <v>46296.0</v>
      </c>
      <c r="F33" s="16">
        <f t="shared" si="1"/>
        <v>26</v>
      </c>
      <c r="G33" s="17" t="str">
        <f t="shared" si="2"/>
        <v>VIGENTE</v>
      </c>
      <c r="H33" s="29" t="s">
        <v>176</v>
      </c>
      <c r="I33" s="18">
        <v>9.0</v>
      </c>
      <c r="J33" s="20"/>
      <c r="K33" s="21"/>
      <c r="L33" s="29" t="s">
        <v>67</v>
      </c>
      <c r="M33" s="29">
        <v>4.149974603E9</v>
      </c>
      <c r="N33" s="12"/>
      <c r="O33" s="22"/>
      <c r="P33" s="23" t="s">
        <v>26</v>
      </c>
    </row>
    <row r="34" ht="22.5" customHeight="1">
      <c r="A34" s="8" t="s">
        <v>177</v>
      </c>
      <c r="B34" s="27" t="s">
        <v>28</v>
      </c>
      <c r="C34" s="12" t="s">
        <v>70</v>
      </c>
      <c r="D34" s="41">
        <v>46266.0</v>
      </c>
      <c r="E34" s="15">
        <v>46296.0</v>
      </c>
      <c r="F34" s="16">
        <f t="shared" si="1"/>
        <v>26</v>
      </c>
      <c r="G34" s="17" t="str">
        <f t="shared" si="2"/>
        <v>VIGENTE</v>
      </c>
      <c r="H34" s="8" t="s">
        <v>179</v>
      </c>
      <c r="I34" s="18">
        <v>9.0</v>
      </c>
      <c r="J34" s="20"/>
      <c r="K34" s="21"/>
      <c r="L34" s="8" t="s">
        <v>180</v>
      </c>
      <c r="M34" s="8">
        <v>4.241570947E9</v>
      </c>
      <c r="N34" s="12"/>
      <c r="O34" s="22"/>
      <c r="P34" s="23" t="s">
        <v>26</v>
      </c>
    </row>
    <row r="35" ht="22.5" customHeight="1">
      <c r="A35" s="8" t="s">
        <v>181</v>
      </c>
      <c r="B35" s="10" t="s">
        <v>127</v>
      </c>
      <c r="C35" s="12" t="s">
        <v>70</v>
      </c>
      <c r="D35" s="14">
        <v>46265.0</v>
      </c>
      <c r="E35" s="15">
        <v>46296.0</v>
      </c>
      <c r="F35" s="16">
        <f t="shared" si="1"/>
        <v>26</v>
      </c>
      <c r="G35" s="17" t="str">
        <f t="shared" si="2"/>
        <v>VIGENTE</v>
      </c>
      <c r="H35" s="8" t="s">
        <v>183</v>
      </c>
      <c r="I35" s="18">
        <v>9.0</v>
      </c>
      <c r="J35" s="20"/>
      <c r="K35" s="21"/>
      <c r="L35" s="8" t="s">
        <v>32</v>
      </c>
      <c r="M35" s="8">
        <v>4.141294973E9</v>
      </c>
      <c r="N35" s="12" t="s">
        <v>44</v>
      </c>
      <c r="O35" s="22" t="s">
        <v>185</v>
      </c>
      <c r="P35" s="23" t="s">
        <v>26</v>
      </c>
    </row>
    <row r="36" ht="22.5" customHeight="1">
      <c r="A36" s="8" t="s">
        <v>188</v>
      </c>
      <c r="B36" s="27" t="s">
        <v>131</v>
      </c>
      <c r="C36" s="12" t="s">
        <v>70</v>
      </c>
      <c r="D36" s="14">
        <v>46265.0</v>
      </c>
      <c r="E36" s="14">
        <v>46296.0</v>
      </c>
      <c r="F36" s="16">
        <f t="shared" si="1"/>
        <v>26</v>
      </c>
      <c r="G36" s="17" t="str">
        <f t="shared" si="2"/>
        <v>VIGENTE</v>
      </c>
      <c r="H36" s="29" t="s">
        <v>190</v>
      </c>
      <c r="I36" s="18">
        <v>9.0</v>
      </c>
      <c r="J36" s="20"/>
      <c r="K36" s="21"/>
      <c r="L36" s="8" t="s">
        <v>32</v>
      </c>
      <c r="M36" s="29">
        <v>4.125855502E9</v>
      </c>
      <c r="N36" s="12"/>
      <c r="O36" s="22" t="s">
        <v>185</v>
      </c>
      <c r="P36" s="23" t="s">
        <v>26</v>
      </c>
    </row>
    <row r="37" ht="22.5" customHeight="1">
      <c r="A37" s="8" t="s">
        <v>191</v>
      </c>
      <c r="B37" s="10" t="s">
        <v>34</v>
      </c>
      <c r="C37" s="12" t="s">
        <v>70</v>
      </c>
      <c r="D37" s="14">
        <v>46235.0</v>
      </c>
      <c r="E37" s="14">
        <v>46297.0</v>
      </c>
      <c r="F37" s="16">
        <f t="shared" si="1"/>
        <v>27</v>
      </c>
      <c r="G37" s="17" t="str">
        <f t="shared" si="2"/>
        <v>VIGENTE</v>
      </c>
      <c r="H37" s="8" t="s">
        <v>192</v>
      </c>
      <c r="I37" s="18">
        <v>9.0</v>
      </c>
      <c r="J37" s="20"/>
      <c r="K37" s="21"/>
      <c r="L37" s="29" t="s">
        <v>194</v>
      </c>
      <c r="M37" s="8">
        <v>4.146551054E9</v>
      </c>
      <c r="N37" s="12"/>
      <c r="O37" s="22" t="s">
        <v>185</v>
      </c>
      <c r="P37" s="23" t="s">
        <v>26</v>
      </c>
    </row>
    <row r="38" ht="24.0" customHeight="1">
      <c r="A38" s="8" t="s">
        <v>196</v>
      </c>
      <c r="B38" s="27" t="s">
        <v>28</v>
      </c>
      <c r="C38" s="12" t="s">
        <v>70</v>
      </c>
      <c r="D38" s="15">
        <v>45537.0</v>
      </c>
      <c r="E38" s="14">
        <v>46297.0</v>
      </c>
      <c r="F38" s="16">
        <f t="shared" si="1"/>
        <v>27</v>
      </c>
      <c r="G38" s="17" t="str">
        <f t="shared" si="2"/>
        <v>VIGENTE</v>
      </c>
      <c r="H38" s="8" t="s">
        <v>197</v>
      </c>
      <c r="I38" s="18">
        <v>9.0</v>
      </c>
      <c r="J38" s="20"/>
      <c r="K38" s="21"/>
      <c r="L38" s="8" t="s">
        <v>32</v>
      </c>
      <c r="M38" s="8">
        <v>4.144673477E9</v>
      </c>
      <c r="N38" s="12"/>
      <c r="O38" s="22" t="s">
        <v>185</v>
      </c>
      <c r="P38" s="23" t="s">
        <v>26</v>
      </c>
    </row>
    <row r="39" ht="22.5" customHeight="1">
      <c r="A39" s="8" t="s">
        <v>199</v>
      </c>
      <c r="B39" s="10" t="s">
        <v>127</v>
      </c>
      <c r="C39" s="12" t="s">
        <v>70</v>
      </c>
      <c r="D39" s="14">
        <v>45320.0</v>
      </c>
      <c r="E39" s="14">
        <v>46298.0</v>
      </c>
      <c r="F39" s="16">
        <f t="shared" si="1"/>
        <v>28</v>
      </c>
      <c r="G39" s="17" t="str">
        <f t="shared" si="2"/>
        <v>VIGENTE</v>
      </c>
      <c r="H39" s="69" t="s">
        <v>200</v>
      </c>
      <c r="I39" s="18">
        <v>9.0</v>
      </c>
      <c r="J39" s="20"/>
      <c r="K39" s="21"/>
      <c r="L39" s="69" t="s">
        <v>31</v>
      </c>
      <c r="M39" s="69">
        <v>1.6124588683E10</v>
      </c>
      <c r="N39" s="12"/>
      <c r="O39" s="22" t="s">
        <v>185</v>
      </c>
      <c r="P39" s="23" t="s">
        <v>26</v>
      </c>
    </row>
    <row r="40" ht="22.5" customHeight="1">
      <c r="A40" s="8" t="s">
        <v>202</v>
      </c>
      <c r="B40" s="27" t="s">
        <v>131</v>
      </c>
      <c r="C40" s="12" t="s">
        <v>70</v>
      </c>
      <c r="D40" s="41">
        <v>45456.0</v>
      </c>
      <c r="E40" s="15">
        <v>46298.0</v>
      </c>
      <c r="F40" s="16">
        <f t="shared" si="1"/>
        <v>28</v>
      </c>
      <c r="G40" s="17" t="str">
        <f t="shared" si="2"/>
        <v>VIGENTE</v>
      </c>
      <c r="H40" s="8" t="s">
        <v>203</v>
      </c>
      <c r="I40" s="18">
        <v>9.0</v>
      </c>
      <c r="J40" s="20"/>
      <c r="K40" s="21"/>
      <c r="L40" s="8" t="s">
        <v>31</v>
      </c>
      <c r="M40" s="8">
        <v>1.6515025597E10</v>
      </c>
      <c r="N40" s="12"/>
      <c r="O40" s="22" t="s">
        <v>185</v>
      </c>
      <c r="P40" s="23" t="s">
        <v>26</v>
      </c>
    </row>
    <row r="41" ht="22.5" customHeight="1">
      <c r="A41" s="8" t="s">
        <v>207</v>
      </c>
      <c r="B41" s="10" t="s">
        <v>34</v>
      </c>
      <c r="C41" s="12" t="s">
        <v>70</v>
      </c>
      <c r="D41" s="15">
        <v>46177.0</v>
      </c>
      <c r="E41" s="15">
        <v>46299.0</v>
      </c>
      <c r="F41" s="16">
        <f t="shared" si="1"/>
        <v>29</v>
      </c>
      <c r="G41" s="17" t="str">
        <f t="shared" si="2"/>
        <v>VIGENTE</v>
      </c>
      <c r="H41" s="29" t="s">
        <v>208</v>
      </c>
      <c r="I41" s="18">
        <v>9.0</v>
      </c>
      <c r="J41" s="20"/>
      <c r="K41" s="21"/>
      <c r="L41" s="29" t="s">
        <v>51</v>
      </c>
      <c r="M41" s="29">
        <v>4.246495543E9</v>
      </c>
      <c r="N41" s="12" t="s">
        <v>42</v>
      </c>
      <c r="O41" s="22" t="s">
        <v>185</v>
      </c>
      <c r="P41" s="23" t="s">
        <v>26</v>
      </c>
    </row>
    <row r="42" ht="22.5" customHeight="1">
      <c r="A42" s="8" t="s">
        <v>209</v>
      </c>
      <c r="B42" s="10" t="s">
        <v>38</v>
      </c>
      <c r="C42" s="12" t="s">
        <v>70</v>
      </c>
      <c r="D42" s="15">
        <v>45426.0</v>
      </c>
      <c r="E42" s="15">
        <v>46301.0</v>
      </c>
      <c r="F42" s="16">
        <f t="shared" si="1"/>
        <v>31</v>
      </c>
      <c r="G42" s="17" t="str">
        <f t="shared" si="2"/>
        <v>VIGENTE</v>
      </c>
      <c r="H42" s="8" t="s">
        <v>210</v>
      </c>
      <c r="I42" s="18">
        <v>9.0</v>
      </c>
      <c r="J42" s="20"/>
      <c r="K42" s="21"/>
      <c r="L42" s="8" t="s">
        <v>31</v>
      </c>
      <c r="M42" s="8">
        <v>1.3214644841E10</v>
      </c>
      <c r="N42" s="12" t="s">
        <v>211</v>
      </c>
      <c r="O42" s="22" t="s">
        <v>185</v>
      </c>
      <c r="P42" s="23" t="s">
        <v>26</v>
      </c>
    </row>
    <row r="43" ht="22.5" customHeight="1">
      <c r="A43" s="8" t="s">
        <v>212</v>
      </c>
      <c r="B43" s="10" t="s">
        <v>45</v>
      </c>
      <c r="C43" s="12" t="s">
        <v>70</v>
      </c>
      <c r="D43" s="14">
        <v>45789.0</v>
      </c>
      <c r="E43" s="14">
        <v>46307.0</v>
      </c>
      <c r="F43" s="16">
        <f t="shared" si="1"/>
        <v>37</v>
      </c>
      <c r="G43" s="17" t="str">
        <f t="shared" si="2"/>
        <v>VIGENTE</v>
      </c>
      <c r="H43" s="8" t="s">
        <v>213</v>
      </c>
      <c r="I43" s="18">
        <v>9.0</v>
      </c>
      <c r="J43" s="20"/>
      <c r="K43" s="21"/>
      <c r="L43" s="8" t="s">
        <v>214</v>
      </c>
      <c r="M43" s="8">
        <v>1.6892410901E10</v>
      </c>
      <c r="N43" s="12" t="s">
        <v>44</v>
      </c>
      <c r="O43" s="22" t="s">
        <v>185</v>
      </c>
      <c r="P43" s="23" t="s">
        <v>26</v>
      </c>
    </row>
    <row r="44" ht="22.5" customHeight="1">
      <c r="A44" s="8" t="s">
        <v>215</v>
      </c>
      <c r="B44" s="10" t="s">
        <v>64</v>
      </c>
      <c r="C44" s="12" t="s">
        <v>70</v>
      </c>
      <c r="D44" s="14">
        <v>46102.0</v>
      </c>
      <c r="E44" s="14">
        <v>46316.0</v>
      </c>
      <c r="F44" s="16">
        <f t="shared" si="1"/>
        <v>46</v>
      </c>
      <c r="G44" s="17" t="str">
        <f t="shared" si="2"/>
        <v>VIGENTE</v>
      </c>
      <c r="H44" s="8" t="s">
        <v>216</v>
      </c>
      <c r="I44" s="18">
        <v>9.0</v>
      </c>
      <c r="J44" s="20"/>
      <c r="K44" s="21"/>
      <c r="L44" s="8" t="s">
        <v>31</v>
      </c>
      <c r="M44" s="8">
        <v>1.6512008088E10</v>
      </c>
      <c r="N44" s="12" t="s">
        <v>44</v>
      </c>
      <c r="O44" s="22" t="s">
        <v>185</v>
      </c>
      <c r="P44" s="23" t="s">
        <v>26</v>
      </c>
    </row>
    <row r="45" ht="22.5" customHeight="1">
      <c r="A45" s="8" t="s">
        <v>217</v>
      </c>
      <c r="B45" s="10" t="s">
        <v>97</v>
      </c>
      <c r="C45" s="12" t="s">
        <v>70</v>
      </c>
      <c r="D45" s="15">
        <v>46259.0</v>
      </c>
      <c r="E45" s="15">
        <v>46320.0</v>
      </c>
      <c r="F45" s="16">
        <f t="shared" si="1"/>
        <v>50</v>
      </c>
      <c r="G45" s="17" t="str">
        <f t="shared" si="2"/>
        <v>VIGENTE</v>
      </c>
      <c r="H45" s="8" t="s">
        <v>219</v>
      </c>
      <c r="I45" s="18">
        <v>9.0</v>
      </c>
      <c r="J45" s="20"/>
      <c r="K45" s="21"/>
      <c r="L45" s="8" t="s">
        <v>31</v>
      </c>
      <c r="M45" s="8">
        <v>1.5715023271E10</v>
      </c>
      <c r="N45" s="12" t="s">
        <v>44</v>
      </c>
      <c r="O45" s="22" t="s">
        <v>185</v>
      </c>
      <c r="P45" s="23" t="s">
        <v>26</v>
      </c>
    </row>
    <row r="46" ht="22.5" customHeight="1">
      <c r="A46" s="8" t="s">
        <v>220</v>
      </c>
      <c r="B46" s="27" t="s">
        <v>28</v>
      </c>
      <c r="C46" s="12" t="s">
        <v>70</v>
      </c>
      <c r="D46" s="15">
        <v>46231.0</v>
      </c>
      <c r="E46" s="15">
        <v>46323.0</v>
      </c>
      <c r="F46" s="16">
        <f t="shared" si="1"/>
        <v>53</v>
      </c>
      <c r="G46" s="17" t="str">
        <f t="shared" si="2"/>
        <v>VIGENTE</v>
      </c>
      <c r="H46" s="8" t="s">
        <v>222</v>
      </c>
      <c r="I46" s="18">
        <v>9.0</v>
      </c>
      <c r="J46" s="20"/>
      <c r="K46" s="21"/>
      <c r="L46" s="8" t="s">
        <v>31</v>
      </c>
      <c r="M46" s="33">
        <v>1.3052167751E10</v>
      </c>
      <c r="N46" s="12" t="s">
        <v>42</v>
      </c>
      <c r="O46" s="22" t="s">
        <v>185</v>
      </c>
      <c r="P46" s="23" t="s">
        <v>26</v>
      </c>
    </row>
    <row r="47" ht="22.5" customHeight="1">
      <c r="A47" s="8" t="s">
        <v>224</v>
      </c>
      <c r="B47" s="10" t="s">
        <v>127</v>
      </c>
      <c r="C47" s="12" t="s">
        <v>70</v>
      </c>
      <c r="D47" s="41">
        <v>45113.0</v>
      </c>
      <c r="E47" s="14">
        <v>46343.0</v>
      </c>
      <c r="F47" s="16">
        <f t="shared" si="1"/>
        <v>73</v>
      </c>
      <c r="G47" s="17" t="str">
        <f t="shared" si="2"/>
        <v>VIGENTE</v>
      </c>
      <c r="H47" s="8" t="s">
        <v>225</v>
      </c>
      <c r="I47" s="18">
        <v>9.0</v>
      </c>
      <c r="J47" s="20"/>
      <c r="K47" s="21"/>
      <c r="L47" s="8" t="s">
        <v>31</v>
      </c>
      <c r="M47" s="8">
        <v>1.3853389262E10</v>
      </c>
      <c r="N47" s="12" t="s">
        <v>42</v>
      </c>
      <c r="O47" s="22" t="s">
        <v>185</v>
      </c>
      <c r="P47" s="23" t="s">
        <v>26</v>
      </c>
    </row>
    <row r="48" ht="22.5" customHeight="1">
      <c r="A48" s="8" t="s">
        <v>228</v>
      </c>
      <c r="B48" s="27" t="s">
        <v>131</v>
      </c>
      <c r="C48" s="12" t="s">
        <v>70</v>
      </c>
      <c r="D48" s="15">
        <v>46263.0</v>
      </c>
      <c r="E48" s="15">
        <v>46357.0</v>
      </c>
      <c r="F48" s="16">
        <f t="shared" si="1"/>
        <v>87</v>
      </c>
      <c r="G48" s="17" t="str">
        <f t="shared" si="2"/>
        <v>VIGENTE</v>
      </c>
      <c r="H48" s="8" t="s">
        <v>231</v>
      </c>
      <c r="I48" s="18">
        <v>9.0</v>
      </c>
      <c r="J48" s="20"/>
      <c r="K48" s="21"/>
      <c r="L48" s="8" t="s">
        <v>31</v>
      </c>
      <c r="M48" s="8">
        <v>4.146423258E9</v>
      </c>
      <c r="N48" s="12" t="s">
        <v>44</v>
      </c>
      <c r="O48" s="22" t="s">
        <v>185</v>
      </c>
      <c r="P48" s="23" t="s">
        <v>26</v>
      </c>
    </row>
    <row r="49" ht="22.5" customHeight="1">
      <c r="A49" s="8" t="s">
        <v>233</v>
      </c>
      <c r="B49" s="10" t="s">
        <v>34</v>
      </c>
      <c r="C49" s="12" t="s">
        <v>70</v>
      </c>
      <c r="D49" s="15">
        <v>46263.0</v>
      </c>
      <c r="E49" s="15">
        <v>46363.0</v>
      </c>
      <c r="F49" s="16">
        <f t="shared" si="1"/>
        <v>93</v>
      </c>
      <c r="G49" s="17" t="str">
        <f t="shared" si="2"/>
        <v>VIGENTE</v>
      </c>
      <c r="H49" s="8" t="s">
        <v>234</v>
      </c>
      <c r="I49" s="18">
        <v>9.0</v>
      </c>
      <c r="J49" s="20"/>
      <c r="K49" s="21"/>
      <c r="L49" s="8" t="s">
        <v>32</v>
      </c>
      <c r="M49" s="8">
        <v>4.146423258E9</v>
      </c>
      <c r="N49" s="30"/>
      <c r="O49" s="22" t="s">
        <v>185</v>
      </c>
      <c r="P49" s="23" t="s">
        <v>26</v>
      </c>
    </row>
    <row r="50" ht="22.5" customHeight="1">
      <c r="A50" s="8" t="s">
        <v>235</v>
      </c>
      <c r="B50" s="27" t="s">
        <v>28</v>
      </c>
      <c r="C50" s="12" t="s">
        <v>70</v>
      </c>
      <c r="D50" s="15">
        <v>45984.0</v>
      </c>
      <c r="E50" s="15">
        <v>46379.0</v>
      </c>
      <c r="F50" s="16">
        <f t="shared" si="1"/>
        <v>109</v>
      </c>
      <c r="G50" s="17" t="str">
        <f t="shared" si="2"/>
        <v>VIGENTE</v>
      </c>
      <c r="H50" s="8" t="s">
        <v>237</v>
      </c>
      <c r="I50" s="18">
        <v>9.0</v>
      </c>
      <c r="J50" s="20"/>
      <c r="K50" s="21"/>
      <c r="L50" s="8" t="s">
        <v>31</v>
      </c>
      <c r="M50" s="33">
        <v>1.6128064691E10</v>
      </c>
      <c r="N50" s="12"/>
      <c r="O50" s="22" t="s">
        <v>185</v>
      </c>
      <c r="P50" s="23" t="s">
        <v>26</v>
      </c>
    </row>
    <row r="51" ht="22.5" customHeight="1">
      <c r="A51" s="8" t="s">
        <v>239</v>
      </c>
      <c r="B51" s="27" t="s">
        <v>28</v>
      </c>
      <c r="C51" s="12" t="s">
        <v>70</v>
      </c>
      <c r="D51" s="15">
        <v>45957.0</v>
      </c>
      <c r="E51" s="15">
        <v>46383.0</v>
      </c>
      <c r="F51" s="16">
        <f t="shared" si="1"/>
        <v>113</v>
      </c>
      <c r="G51" s="17" t="str">
        <f t="shared" si="2"/>
        <v>VIGENTE</v>
      </c>
      <c r="H51" s="8" t="s">
        <v>241</v>
      </c>
      <c r="I51" s="18">
        <v>9.0</v>
      </c>
      <c r="J51" s="20"/>
      <c r="K51" s="21"/>
      <c r="L51" s="8" t="s">
        <v>242</v>
      </c>
      <c r="M51" s="8">
        <v>1.470554853E10</v>
      </c>
      <c r="N51" s="12"/>
      <c r="O51" s="22" t="s">
        <v>185</v>
      </c>
      <c r="P51" s="23" t="s">
        <v>26</v>
      </c>
    </row>
    <row r="52" ht="22.5" customHeight="1">
      <c r="A52" s="8" t="s">
        <v>243</v>
      </c>
      <c r="B52" s="10" t="s">
        <v>127</v>
      </c>
      <c r="C52" s="12" t="s">
        <v>70</v>
      </c>
      <c r="D52" s="15">
        <v>46191.0</v>
      </c>
      <c r="E52" s="15">
        <v>46405.0</v>
      </c>
      <c r="F52" s="16">
        <f t="shared" si="1"/>
        <v>135</v>
      </c>
      <c r="G52" s="17" t="str">
        <f t="shared" si="2"/>
        <v>VIGENTE</v>
      </c>
      <c r="H52" s="75" t="s">
        <v>244</v>
      </c>
      <c r="I52" s="18">
        <v>9.0</v>
      </c>
      <c r="J52" s="20"/>
      <c r="K52" s="21"/>
      <c r="L52" s="75" t="s">
        <v>31</v>
      </c>
      <c r="M52" s="75">
        <v>1.4074566601E10</v>
      </c>
      <c r="N52" s="12"/>
      <c r="O52" s="22" t="s">
        <v>185</v>
      </c>
      <c r="P52" s="23" t="s">
        <v>26</v>
      </c>
    </row>
    <row r="53" ht="22.5" customHeight="1">
      <c r="A53" s="8" t="s">
        <v>247</v>
      </c>
      <c r="B53" s="27" t="s">
        <v>131</v>
      </c>
      <c r="C53" s="12" t="s">
        <v>70</v>
      </c>
      <c r="D53" s="15">
        <v>46238.0</v>
      </c>
      <c r="E53" s="15">
        <v>46235.0</v>
      </c>
      <c r="F53" s="16">
        <f t="shared" si="1"/>
        <v>-35</v>
      </c>
      <c r="G53" s="17" t="str">
        <f t="shared" si="2"/>
        <v>VENCIDO</v>
      </c>
      <c r="H53" s="8" t="s">
        <v>249</v>
      </c>
      <c r="I53" s="18">
        <v>9.0</v>
      </c>
      <c r="J53" s="20"/>
      <c r="K53" s="21"/>
      <c r="L53" s="8" t="s">
        <v>31</v>
      </c>
      <c r="M53" s="8">
        <v>1.7865381652E10</v>
      </c>
      <c r="N53" s="12"/>
      <c r="O53" s="22" t="s">
        <v>185</v>
      </c>
      <c r="P53" s="23" t="s">
        <v>26</v>
      </c>
    </row>
    <row r="54" ht="22.5" customHeight="1">
      <c r="A54" s="8" t="s">
        <v>251</v>
      </c>
      <c r="B54" s="10" t="s">
        <v>34</v>
      </c>
      <c r="C54" s="12" t="s">
        <v>70</v>
      </c>
      <c r="D54" s="15">
        <v>46228.0</v>
      </c>
      <c r="E54" s="15">
        <v>46472.0</v>
      </c>
      <c r="F54" s="16">
        <f t="shared" si="1"/>
        <v>202</v>
      </c>
      <c r="G54" s="17" t="str">
        <f t="shared" si="2"/>
        <v>VIGENTE</v>
      </c>
      <c r="H54" s="69" t="s">
        <v>252</v>
      </c>
      <c r="I54" s="18">
        <v>9.0</v>
      </c>
      <c r="J54" s="20"/>
      <c r="K54" s="21"/>
      <c r="L54" s="69" t="s">
        <v>214</v>
      </c>
      <c r="M54" s="69">
        <v>1.3214295445E10</v>
      </c>
      <c r="N54" s="12"/>
      <c r="O54" s="22" t="s">
        <v>185</v>
      </c>
      <c r="P54" s="23" t="s">
        <v>26</v>
      </c>
    </row>
    <row r="55" ht="22.5" customHeight="1">
      <c r="A55" s="8" t="s">
        <v>254</v>
      </c>
      <c r="B55" s="10" t="s">
        <v>34</v>
      </c>
      <c r="C55" s="12" t="s">
        <v>70</v>
      </c>
      <c r="D55" s="14">
        <v>46057.0</v>
      </c>
      <c r="E55" s="14">
        <v>46481.0</v>
      </c>
      <c r="F55" s="16">
        <f t="shared" si="1"/>
        <v>211</v>
      </c>
      <c r="G55" s="17" t="str">
        <f t="shared" si="2"/>
        <v>VIGENTE</v>
      </c>
      <c r="H55" s="8" t="s">
        <v>255</v>
      </c>
      <c r="I55" s="18">
        <v>9.0</v>
      </c>
      <c r="J55" s="20"/>
      <c r="K55" s="21"/>
      <c r="L55" s="8" t="s">
        <v>214</v>
      </c>
      <c r="M55" s="8">
        <v>1.6893229002E10</v>
      </c>
      <c r="N55" s="12" t="s">
        <v>44</v>
      </c>
      <c r="O55" s="22" t="s">
        <v>185</v>
      </c>
      <c r="P55" s="23" t="s">
        <v>26</v>
      </c>
    </row>
    <row r="56" ht="22.5" customHeight="1">
      <c r="A56" s="8" t="s">
        <v>257</v>
      </c>
      <c r="B56" s="10" t="s">
        <v>38</v>
      </c>
      <c r="C56" s="12" t="s">
        <v>70</v>
      </c>
      <c r="D56" s="14">
        <v>45655.0</v>
      </c>
      <c r="E56" s="14">
        <v>46509.0</v>
      </c>
      <c r="F56" s="16">
        <f t="shared" si="1"/>
        <v>239</v>
      </c>
      <c r="G56" s="17" t="str">
        <f t="shared" si="2"/>
        <v>VIGENTE</v>
      </c>
      <c r="H56" s="8" t="s">
        <v>258</v>
      </c>
      <c r="I56" s="18">
        <v>9.0</v>
      </c>
      <c r="J56" s="20"/>
      <c r="K56" s="21"/>
      <c r="L56" s="8" t="s">
        <v>31</v>
      </c>
      <c r="M56" s="8">
        <v>1.7084777061E10</v>
      </c>
      <c r="N56" s="12"/>
      <c r="O56" s="22" t="s">
        <v>185</v>
      </c>
      <c r="P56" s="23" t="s">
        <v>26</v>
      </c>
    </row>
    <row r="57" ht="22.5" customHeight="1">
      <c r="A57" s="8" t="s">
        <v>260</v>
      </c>
      <c r="B57" s="10" t="s">
        <v>45</v>
      </c>
      <c r="C57" s="12" t="s">
        <v>70</v>
      </c>
      <c r="D57" s="14">
        <v>45599.0</v>
      </c>
      <c r="E57" s="14">
        <v>46510.0</v>
      </c>
      <c r="F57" s="16">
        <f t="shared" si="1"/>
        <v>240</v>
      </c>
      <c r="G57" s="17" t="str">
        <f t="shared" si="2"/>
        <v>VIGENTE</v>
      </c>
      <c r="H57" s="8" t="s">
        <v>261</v>
      </c>
      <c r="I57" s="18">
        <v>9.0</v>
      </c>
      <c r="J57" s="20"/>
      <c r="K57" s="21"/>
      <c r="L57" s="8" t="s">
        <v>31</v>
      </c>
      <c r="M57" s="8">
        <v>1.407404939E10</v>
      </c>
      <c r="N57" s="12"/>
      <c r="O57" s="22" t="s">
        <v>185</v>
      </c>
      <c r="P57" s="23" t="s">
        <v>26</v>
      </c>
    </row>
    <row r="58" ht="22.5" customHeight="1">
      <c r="A58" s="8" t="s">
        <v>263</v>
      </c>
      <c r="B58" s="10" t="s">
        <v>64</v>
      </c>
      <c r="C58" s="12" t="s">
        <v>70</v>
      </c>
      <c r="D58" s="14">
        <v>46102.0</v>
      </c>
      <c r="E58" s="14">
        <v>46528.0</v>
      </c>
      <c r="F58" s="16">
        <f t="shared" si="1"/>
        <v>258</v>
      </c>
      <c r="G58" s="17" t="str">
        <f t="shared" si="2"/>
        <v>VIGENTE</v>
      </c>
      <c r="H58" s="8" t="s">
        <v>264</v>
      </c>
      <c r="I58" s="18">
        <v>9.0</v>
      </c>
      <c r="J58" s="20"/>
      <c r="K58" s="21"/>
      <c r="L58" s="8" t="s">
        <v>31</v>
      </c>
      <c r="M58" s="8">
        <v>1.3215885794E10</v>
      </c>
      <c r="N58" s="12"/>
      <c r="O58" s="22" t="s">
        <v>185</v>
      </c>
      <c r="P58" s="23" t="s">
        <v>26</v>
      </c>
    </row>
    <row r="59" ht="22.5" customHeight="1">
      <c r="A59" s="8" t="s">
        <v>265</v>
      </c>
      <c r="B59" s="27" t="s">
        <v>106</v>
      </c>
      <c r="C59" s="12" t="s">
        <v>70</v>
      </c>
      <c r="D59" s="14">
        <v>45260.0</v>
      </c>
      <c r="E59" s="14">
        <v>46629.0</v>
      </c>
      <c r="F59" s="16">
        <f t="shared" si="1"/>
        <v>359</v>
      </c>
      <c r="G59" s="17" t="str">
        <f t="shared" si="2"/>
        <v>VIGENTE</v>
      </c>
      <c r="H59" s="8" t="s">
        <v>266</v>
      </c>
      <c r="I59" s="18">
        <v>9.0</v>
      </c>
      <c r="J59" s="20"/>
      <c r="K59" s="21"/>
      <c r="L59" s="8" t="s">
        <v>267</v>
      </c>
      <c r="M59" s="8">
        <v>5.73157939444E11</v>
      </c>
      <c r="N59" s="12"/>
      <c r="O59" s="22" t="s">
        <v>185</v>
      </c>
      <c r="P59" s="23" t="s">
        <v>26</v>
      </c>
    </row>
    <row r="60" ht="22.5" customHeight="1">
      <c r="A60" s="8" t="s">
        <v>268</v>
      </c>
      <c r="B60" s="60" t="s">
        <v>114</v>
      </c>
      <c r="C60" s="12" t="s">
        <v>70</v>
      </c>
      <c r="D60" s="41">
        <v>46221.0</v>
      </c>
      <c r="E60" s="14">
        <v>46648.0</v>
      </c>
      <c r="F60" s="16">
        <f t="shared" si="1"/>
        <v>378</v>
      </c>
      <c r="G60" s="17" t="str">
        <f t="shared" si="2"/>
        <v>VIGENTE</v>
      </c>
      <c r="H60" s="8" t="s">
        <v>269</v>
      </c>
      <c r="I60" s="18">
        <v>9.0</v>
      </c>
      <c r="J60" s="20"/>
      <c r="K60" s="21"/>
      <c r="L60" s="8" t="s">
        <v>31</v>
      </c>
      <c r="M60" s="8">
        <v>1.689680214E10</v>
      </c>
      <c r="N60" s="12"/>
      <c r="O60" s="22" t="s">
        <v>185</v>
      </c>
      <c r="P60" s="23" t="s">
        <v>26</v>
      </c>
    </row>
    <row r="61" ht="22.5" customHeight="1">
      <c r="A61" s="8" t="s">
        <v>270</v>
      </c>
      <c r="B61" s="60" t="s">
        <v>271</v>
      </c>
      <c r="C61" s="12" t="s">
        <v>70</v>
      </c>
      <c r="D61" s="41">
        <v>46221.0</v>
      </c>
      <c r="E61" s="14">
        <v>46648.0</v>
      </c>
      <c r="F61" s="16">
        <f t="shared" si="1"/>
        <v>378</v>
      </c>
      <c r="G61" s="17" t="str">
        <f t="shared" si="2"/>
        <v>VIGENTE</v>
      </c>
      <c r="H61" s="12" t="s">
        <v>79</v>
      </c>
      <c r="I61" s="19">
        <v>4.0</v>
      </c>
      <c r="J61" s="20"/>
      <c r="K61" s="21"/>
      <c r="L61" s="12" t="s">
        <v>32</v>
      </c>
      <c r="M61" s="24">
        <v>4.242130371E9</v>
      </c>
      <c r="N61" s="12"/>
      <c r="O61" s="22" t="s">
        <v>185</v>
      </c>
      <c r="P61" s="23"/>
    </row>
    <row r="62" ht="22.5" customHeight="1">
      <c r="A62" s="8" t="s">
        <v>272</v>
      </c>
      <c r="B62" s="10" t="s">
        <v>18</v>
      </c>
      <c r="C62" s="12" t="s">
        <v>70</v>
      </c>
      <c r="D62" s="41">
        <v>46254.0</v>
      </c>
      <c r="E62" s="15">
        <v>46286.0</v>
      </c>
      <c r="F62" s="16">
        <f t="shared" si="1"/>
        <v>16</v>
      </c>
      <c r="G62" s="17" t="str">
        <f t="shared" si="2"/>
        <v>VIGENTE</v>
      </c>
      <c r="H62" s="29" t="s">
        <v>273</v>
      </c>
      <c r="I62" s="18">
        <v>7.0</v>
      </c>
      <c r="J62" s="20"/>
      <c r="K62" s="21"/>
      <c r="L62" s="8" t="s">
        <v>32</v>
      </c>
      <c r="M62" s="8">
        <v>4.14256438E9</v>
      </c>
      <c r="N62" s="12"/>
      <c r="O62" s="22"/>
      <c r="P62" s="23" t="s">
        <v>26</v>
      </c>
    </row>
    <row r="63" ht="22.5" customHeight="1">
      <c r="A63" s="8" t="s">
        <v>274</v>
      </c>
      <c r="B63" s="27" t="s">
        <v>28</v>
      </c>
      <c r="C63" s="12" t="s">
        <v>70</v>
      </c>
      <c r="D63" s="41">
        <v>46257.0</v>
      </c>
      <c r="E63" s="14">
        <v>46288.0</v>
      </c>
      <c r="F63" s="16">
        <f t="shared" si="1"/>
        <v>18</v>
      </c>
      <c r="G63" s="17" t="str">
        <f t="shared" si="2"/>
        <v>VIGENTE</v>
      </c>
      <c r="H63" s="29" t="s">
        <v>273</v>
      </c>
      <c r="I63" s="18">
        <v>7.0</v>
      </c>
      <c r="J63" s="20"/>
      <c r="K63" s="21"/>
      <c r="L63" s="8" t="s">
        <v>32</v>
      </c>
      <c r="M63" s="8">
        <v>4.14256438E9</v>
      </c>
      <c r="N63" s="12"/>
      <c r="O63" s="22"/>
      <c r="P63" s="23" t="s">
        <v>26</v>
      </c>
    </row>
    <row r="64" ht="22.5" customHeight="1">
      <c r="A64" s="8" t="s">
        <v>275</v>
      </c>
      <c r="B64" s="60" t="s">
        <v>114</v>
      </c>
      <c r="C64" s="12" t="s">
        <v>70</v>
      </c>
      <c r="D64" s="14">
        <v>45211.0</v>
      </c>
      <c r="E64" s="14">
        <v>46340.0</v>
      </c>
      <c r="F64" s="16">
        <f t="shared" si="1"/>
        <v>70</v>
      </c>
      <c r="G64" s="17" t="str">
        <f t="shared" si="2"/>
        <v>VIGENTE</v>
      </c>
      <c r="H64" s="29" t="s">
        <v>273</v>
      </c>
      <c r="I64" s="18">
        <v>7.0</v>
      </c>
      <c r="J64" s="20"/>
      <c r="K64" s="21"/>
      <c r="L64" s="8" t="s">
        <v>32</v>
      </c>
      <c r="M64" s="8">
        <v>4.14256438E9</v>
      </c>
      <c r="N64" s="12" t="s">
        <v>44</v>
      </c>
      <c r="O64" s="22"/>
      <c r="P64" s="23" t="s">
        <v>26</v>
      </c>
    </row>
    <row r="65" ht="22.5" customHeight="1">
      <c r="A65" s="29"/>
      <c r="B65" s="10"/>
      <c r="C65" s="1"/>
      <c r="D65" s="14"/>
      <c r="E65" s="14"/>
      <c r="F65" s="16">
        <f t="shared" si="1"/>
        <v>-46270</v>
      </c>
      <c r="G65" s="17" t="str">
        <f t="shared" si="2"/>
        <v>VENCIDO</v>
      </c>
      <c r="H65" s="12"/>
      <c r="I65" s="19"/>
      <c r="J65" s="20"/>
      <c r="K65" s="21"/>
      <c r="L65" s="12"/>
      <c r="M65" s="24"/>
      <c r="N65" s="12"/>
      <c r="O65" s="22"/>
      <c r="P65" s="23"/>
    </row>
    <row r="66" ht="22.5" customHeight="1">
      <c r="A66" s="76"/>
      <c r="B66" s="77"/>
      <c r="C66" s="1"/>
      <c r="D66" s="78"/>
      <c r="E66" s="14"/>
      <c r="F66" s="16">
        <f t="shared" si="1"/>
        <v>-46270</v>
      </c>
      <c r="G66" s="17" t="str">
        <f t="shared" si="2"/>
        <v>VENCIDO</v>
      </c>
      <c r="H66" s="12"/>
      <c r="I66" s="19"/>
      <c r="J66" s="20"/>
      <c r="K66" s="21"/>
      <c r="L66" s="12"/>
      <c r="M66" s="24"/>
      <c r="N66" s="12"/>
      <c r="O66" s="22"/>
      <c r="P66" s="23"/>
    </row>
    <row r="67" ht="22.5" customHeight="1">
      <c r="A67" s="29"/>
      <c r="B67" s="77"/>
      <c r="C67" s="1"/>
      <c r="D67" s="13"/>
      <c r="E67" s="13"/>
      <c r="F67" s="16">
        <f t="shared" si="1"/>
        <v>-46270</v>
      </c>
      <c r="G67" s="17" t="str">
        <f t="shared" si="2"/>
        <v>VENCIDO</v>
      </c>
      <c r="H67" s="12"/>
      <c r="I67" s="19"/>
      <c r="J67" s="20"/>
      <c r="K67" s="21"/>
      <c r="L67" s="12"/>
      <c r="M67" s="24"/>
      <c r="N67" s="12"/>
      <c r="O67" s="22"/>
      <c r="P67" s="23"/>
    </row>
    <row r="68" ht="22.5" customHeight="1">
      <c r="A68" s="8" t="s">
        <v>276</v>
      </c>
      <c r="B68" s="10" t="s">
        <v>38</v>
      </c>
      <c r="C68" s="12" t="s">
        <v>20</v>
      </c>
      <c r="D68" s="41">
        <v>46221.0</v>
      </c>
      <c r="E68" s="14">
        <v>46648.0</v>
      </c>
      <c r="F68" s="16">
        <f t="shared" si="1"/>
        <v>378</v>
      </c>
      <c r="G68" s="17" t="str">
        <f t="shared" si="2"/>
        <v>VIGENTE</v>
      </c>
      <c r="H68" s="12" t="s">
        <v>245</v>
      </c>
      <c r="I68" s="19">
        <v>4.0</v>
      </c>
      <c r="J68" s="20"/>
      <c r="K68" s="21"/>
      <c r="L68" s="12" t="s">
        <v>32</v>
      </c>
      <c r="M68" s="24">
        <v>4.242030438E9</v>
      </c>
      <c r="N68" s="12"/>
      <c r="O68" s="22" t="s">
        <v>185</v>
      </c>
      <c r="P68" s="23"/>
    </row>
    <row r="69" ht="22.5" customHeight="1">
      <c r="A69" s="8" t="s">
        <v>276</v>
      </c>
      <c r="B69" s="10" t="s">
        <v>38</v>
      </c>
      <c r="C69" s="12" t="s">
        <v>20</v>
      </c>
      <c r="D69" s="41">
        <v>46221.0</v>
      </c>
      <c r="E69" s="14">
        <v>46648.0</v>
      </c>
      <c r="F69" s="16">
        <f t="shared" si="1"/>
        <v>378</v>
      </c>
      <c r="G69" s="17" t="str">
        <f t="shared" si="2"/>
        <v>VIGENTE</v>
      </c>
      <c r="H69" s="12" t="s">
        <v>30</v>
      </c>
      <c r="I69" s="19">
        <v>4.0</v>
      </c>
      <c r="J69" s="20"/>
      <c r="K69" s="21"/>
      <c r="L69" s="12" t="s">
        <v>31</v>
      </c>
      <c r="M69" s="24">
        <v>1.6124418159E10</v>
      </c>
      <c r="N69" s="12"/>
      <c r="O69" s="22"/>
      <c r="P69" s="23"/>
    </row>
    <row r="70" ht="22.5" customHeight="1">
      <c r="A70" s="8"/>
      <c r="B70" s="77"/>
      <c r="C70" s="22"/>
      <c r="D70" s="74"/>
      <c r="E70" s="13"/>
      <c r="F70" s="16">
        <f t="shared" si="1"/>
        <v>-46270</v>
      </c>
      <c r="G70" s="17" t="str">
        <f t="shared" si="2"/>
        <v>VENCIDO</v>
      </c>
      <c r="H70" s="12"/>
      <c r="I70" s="19"/>
      <c r="J70" s="20"/>
      <c r="K70" s="21"/>
      <c r="L70" s="12"/>
      <c r="M70" s="24"/>
      <c r="N70" s="12"/>
      <c r="O70" s="22"/>
      <c r="P70" s="23"/>
    </row>
    <row r="71" ht="22.5" customHeight="1">
      <c r="A71" s="8"/>
      <c r="B71" s="8"/>
      <c r="C71" s="1"/>
      <c r="D71" s="74"/>
      <c r="E71" s="13"/>
      <c r="F71" s="16">
        <f t="shared" si="1"/>
        <v>-46270</v>
      </c>
      <c r="G71" s="17" t="str">
        <f t="shared" si="2"/>
        <v>VENCIDO</v>
      </c>
      <c r="H71" s="12"/>
      <c r="I71" s="19"/>
      <c r="J71" s="20"/>
      <c r="K71" s="21"/>
      <c r="L71" s="12"/>
      <c r="M71" s="24"/>
      <c r="N71" s="12"/>
      <c r="O71" s="22"/>
      <c r="P71" s="23"/>
    </row>
    <row r="72" ht="22.5" customHeight="1">
      <c r="A72" s="29"/>
      <c r="B72" s="80"/>
      <c r="C72" s="1"/>
      <c r="D72" s="74"/>
      <c r="E72" s="13"/>
      <c r="F72" s="16">
        <f t="shared" si="1"/>
        <v>-46270</v>
      </c>
      <c r="G72" s="17" t="str">
        <f t="shared" si="2"/>
        <v>VENCIDO</v>
      </c>
      <c r="H72" s="12"/>
      <c r="I72" s="19"/>
      <c r="J72" s="20"/>
      <c r="K72" s="21"/>
      <c r="L72" s="12"/>
      <c r="M72" s="24"/>
      <c r="N72" s="12"/>
      <c r="O72" s="22"/>
      <c r="P72" s="23"/>
    </row>
    <row r="73" ht="22.5" customHeight="1">
      <c r="A73" s="8"/>
      <c r="B73" s="77"/>
      <c r="C73" s="79"/>
      <c r="D73" s="74"/>
      <c r="E73" s="13"/>
      <c r="F73" s="16">
        <f t="shared" si="1"/>
        <v>-46270</v>
      </c>
      <c r="G73" s="17" t="str">
        <f t="shared" si="2"/>
        <v>VENCIDO</v>
      </c>
      <c r="H73" s="12"/>
      <c r="I73" s="19"/>
      <c r="J73" s="20"/>
      <c r="K73" s="21"/>
      <c r="L73" s="12"/>
      <c r="M73" s="24"/>
      <c r="N73" s="12"/>
      <c r="O73" s="22"/>
      <c r="P73" s="23"/>
    </row>
    <row r="74" ht="22.5" customHeight="1">
      <c r="A74" s="8"/>
      <c r="B74" s="77"/>
      <c r="C74" s="79"/>
      <c r="D74" s="74"/>
      <c r="E74" s="13"/>
      <c r="F74" s="16">
        <f t="shared" si="1"/>
        <v>-46270</v>
      </c>
      <c r="G74" s="17" t="str">
        <f t="shared" si="2"/>
        <v>VENCIDO</v>
      </c>
      <c r="H74" s="12"/>
      <c r="I74" s="19"/>
      <c r="J74" s="20"/>
      <c r="K74" s="21"/>
      <c r="L74" s="12"/>
      <c r="M74" s="24"/>
      <c r="N74" s="12"/>
      <c r="O74" s="22"/>
      <c r="P74" s="23"/>
    </row>
    <row r="75" ht="22.5" customHeight="1">
      <c r="A75" s="8"/>
      <c r="B75" s="69"/>
      <c r="C75" s="79"/>
      <c r="D75" s="74"/>
      <c r="E75" s="13"/>
      <c r="F75" s="16">
        <f t="shared" si="1"/>
        <v>-46270</v>
      </c>
      <c r="G75" s="17" t="str">
        <f t="shared" si="2"/>
        <v>VENCIDO</v>
      </c>
      <c r="H75" s="12"/>
      <c r="I75" s="19"/>
      <c r="J75" s="20"/>
      <c r="K75" s="21"/>
      <c r="L75" s="12"/>
      <c r="M75" s="24"/>
      <c r="N75" s="12"/>
      <c r="O75" s="22"/>
      <c r="P75" s="23"/>
    </row>
    <row r="76" ht="22.5" customHeight="1">
      <c r="A76" s="8"/>
      <c r="B76" s="81"/>
      <c r="C76" s="57"/>
      <c r="D76" s="74"/>
      <c r="E76" s="13"/>
      <c r="F76" s="16">
        <f t="shared" si="1"/>
        <v>-46270</v>
      </c>
      <c r="G76" s="17" t="str">
        <f t="shared" si="2"/>
        <v>VENCIDO</v>
      </c>
      <c r="H76" s="12"/>
      <c r="I76" s="19"/>
      <c r="J76" s="20"/>
      <c r="K76" s="21"/>
      <c r="L76" s="12"/>
      <c r="M76" s="24"/>
      <c r="N76" s="12"/>
      <c r="O76" s="22"/>
      <c r="P76" s="43"/>
    </row>
    <row r="77" ht="22.5" customHeight="1">
      <c r="A77" s="8"/>
      <c r="B77" s="77"/>
      <c r="C77" s="57"/>
      <c r="D77" s="74"/>
      <c r="E77" s="13"/>
      <c r="F77" s="16">
        <f t="shared" si="1"/>
        <v>-46270</v>
      </c>
      <c r="G77" s="17" t="str">
        <f t="shared" si="2"/>
        <v>VENCIDO</v>
      </c>
      <c r="H77" s="12"/>
      <c r="I77" s="19"/>
      <c r="J77" s="20"/>
      <c r="K77" s="21"/>
      <c r="L77" s="12"/>
      <c r="M77" s="24"/>
      <c r="N77" s="12"/>
      <c r="O77" s="22"/>
      <c r="P77" s="43"/>
    </row>
    <row r="78" ht="22.5" customHeight="1">
      <c r="A78" s="8"/>
      <c r="B78" s="81"/>
      <c r="C78" s="57"/>
      <c r="D78" s="74"/>
      <c r="E78" s="13"/>
      <c r="F78" s="16">
        <f t="shared" si="1"/>
        <v>-46270</v>
      </c>
      <c r="G78" s="17" t="str">
        <f t="shared" si="2"/>
        <v>VENCIDO</v>
      </c>
      <c r="H78" s="12"/>
      <c r="I78" s="19"/>
      <c r="J78" s="20"/>
      <c r="K78" s="21"/>
      <c r="L78" s="12"/>
      <c r="M78" s="24"/>
      <c r="N78" s="12"/>
      <c r="O78" s="22"/>
      <c r="P78" s="43"/>
    </row>
    <row r="79" ht="22.5" customHeight="1">
      <c r="A79" s="8"/>
      <c r="B79" s="77"/>
      <c r="C79" s="57"/>
      <c r="D79" s="74"/>
      <c r="E79" s="13"/>
      <c r="F79" s="16">
        <f t="shared" si="1"/>
        <v>-46270</v>
      </c>
      <c r="G79" s="17" t="str">
        <f t="shared" si="2"/>
        <v>VENCIDO</v>
      </c>
      <c r="H79" s="12"/>
      <c r="I79" s="19"/>
      <c r="J79" s="20"/>
      <c r="K79" s="21"/>
      <c r="L79" s="12"/>
      <c r="M79" s="24"/>
      <c r="N79" s="12"/>
      <c r="O79" s="22"/>
      <c r="P79" s="43"/>
    </row>
    <row r="80" ht="22.5" customHeight="1">
      <c r="A80" s="8"/>
      <c r="B80" s="77"/>
      <c r="C80" s="57"/>
      <c r="D80" s="74"/>
      <c r="E80" s="13"/>
      <c r="F80" s="16">
        <f t="shared" si="1"/>
        <v>-46270</v>
      </c>
      <c r="G80" s="17" t="str">
        <f t="shared" si="2"/>
        <v>VENCIDO</v>
      </c>
      <c r="H80" s="12"/>
      <c r="I80" s="19"/>
      <c r="J80" s="20"/>
      <c r="K80" s="21"/>
      <c r="L80" s="12"/>
      <c r="M80" s="24"/>
      <c r="N80" s="12"/>
      <c r="O80" s="22"/>
      <c r="P80" s="43"/>
    </row>
    <row r="81" ht="22.5" customHeight="1">
      <c r="A81" s="8"/>
      <c r="B81" s="81"/>
      <c r="C81" s="57"/>
      <c r="D81" s="74"/>
      <c r="E81" s="13"/>
      <c r="F81" s="16">
        <f t="shared" si="1"/>
        <v>-46270</v>
      </c>
      <c r="G81" s="17" t="str">
        <f t="shared" si="2"/>
        <v>VENCIDO</v>
      </c>
      <c r="H81" s="12"/>
      <c r="I81" s="19"/>
      <c r="J81" s="20"/>
      <c r="K81" s="21"/>
      <c r="L81" s="12"/>
      <c r="M81" s="24"/>
      <c r="N81" s="12"/>
      <c r="O81" s="22"/>
      <c r="P81" s="43"/>
    </row>
    <row r="82" ht="22.5" customHeight="1">
      <c r="A82" s="8"/>
      <c r="B82" s="81"/>
      <c r="C82" s="57"/>
      <c r="D82" s="74"/>
      <c r="E82" s="13"/>
      <c r="F82" s="16">
        <f t="shared" si="1"/>
        <v>-46270</v>
      </c>
      <c r="G82" s="17" t="str">
        <f t="shared" si="2"/>
        <v>VENCIDO</v>
      </c>
      <c r="H82" s="12"/>
      <c r="I82" s="19"/>
      <c r="J82" s="20"/>
      <c r="K82" s="21"/>
      <c r="L82" s="12"/>
      <c r="M82" s="24"/>
      <c r="N82" s="12"/>
      <c r="O82" s="22"/>
      <c r="P82" s="43"/>
    </row>
    <row r="83" ht="22.5" customHeight="1">
      <c r="A83" s="77"/>
      <c r="B83" s="82"/>
      <c r="C83" s="57"/>
      <c r="D83" s="74"/>
      <c r="E83" s="13"/>
      <c r="F83" s="16">
        <f t="shared" si="1"/>
        <v>-46270</v>
      </c>
      <c r="G83" s="17" t="str">
        <f t="shared" si="2"/>
        <v>VENCIDO</v>
      </c>
      <c r="H83" s="12"/>
      <c r="I83" s="19"/>
      <c r="J83" s="20"/>
      <c r="K83" s="21"/>
      <c r="L83" s="12"/>
      <c r="M83" s="24"/>
      <c r="N83" s="12"/>
      <c r="O83" s="22"/>
      <c r="P83" s="43"/>
    </row>
    <row r="84" ht="22.5" customHeight="1">
      <c r="A84" s="8"/>
      <c r="B84" s="77"/>
      <c r="C84" s="57"/>
      <c r="D84" s="74"/>
      <c r="E84" s="13"/>
      <c r="F84" s="16">
        <f t="shared" si="1"/>
        <v>-46270</v>
      </c>
      <c r="G84" s="17" t="str">
        <f t="shared" si="2"/>
        <v>VENCIDO</v>
      </c>
      <c r="H84" s="12"/>
      <c r="I84" s="19"/>
      <c r="J84" s="20"/>
      <c r="K84" s="21"/>
      <c r="L84" s="12"/>
      <c r="M84" s="24"/>
      <c r="N84" s="12"/>
      <c r="O84" s="22"/>
      <c r="P84" s="43"/>
    </row>
    <row r="85" ht="22.5" customHeight="1">
      <c r="A85" s="75"/>
      <c r="B85" s="83"/>
      <c r="C85" s="79"/>
      <c r="D85" s="74"/>
      <c r="E85" s="13"/>
      <c r="F85" s="16">
        <f t="shared" si="1"/>
        <v>-46270</v>
      </c>
      <c r="G85" s="17" t="str">
        <f t="shared" si="2"/>
        <v>VENCIDO</v>
      </c>
      <c r="H85" s="12"/>
      <c r="I85" s="19"/>
      <c r="J85" s="20"/>
      <c r="K85" s="21"/>
      <c r="L85" s="12"/>
      <c r="M85" s="24"/>
      <c r="N85" s="12"/>
      <c r="O85" s="22"/>
      <c r="P85" s="23"/>
    </row>
    <row r="86" ht="22.5" customHeight="1">
      <c r="A86" s="77"/>
      <c r="B86" s="84"/>
      <c r="C86" s="79"/>
      <c r="D86" s="74"/>
      <c r="E86" s="13"/>
      <c r="F86" s="16">
        <f t="shared" si="1"/>
        <v>-46270</v>
      </c>
      <c r="G86" s="17" t="str">
        <f t="shared" si="2"/>
        <v>VENCIDO</v>
      </c>
      <c r="H86" s="12"/>
      <c r="I86" s="19"/>
      <c r="J86" s="20"/>
      <c r="K86" s="21"/>
      <c r="L86" s="12"/>
      <c r="M86" s="24"/>
      <c r="N86" s="12"/>
      <c r="O86" s="22"/>
      <c r="P86" s="23"/>
    </row>
    <row r="87" ht="22.5" customHeight="1">
      <c r="A87" s="8"/>
      <c r="B87" s="77"/>
      <c r="C87" s="79"/>
      <c r="D87" s="74"/>
      <c r="E87" s="13"/>
      <c r="F87" s="16">
        <f t="shared" si="1"/>
        <v>-46270</v>
      </c>
      <c r="G87" s="17" t="str">
        <f t="shared" si="2"/>
        <v>VENCIDO</v>
      </c>
      <c r="H87" s="12"/>
      <c r="I87" s="19"/>
      <c r="J87" s="20"/>
      <c r="K87" s="21"/>
      <c r="L87" s="12"/>
      <c r="M87" s="24"/>
      <c r="N87" s="12"/>
      <c r="O87" s="22"/>
      <c r="P87" s="23"/>
    </row>
    <row r="88" ht="22.5" customHeight="1">
      <c r="A88" s="8"/>
      <c r="B88" s="81"/>
      <c r="C88" s="79"/>
      <c r="D88" s="74"/>
      <c r="E88" s="13"/>
      <c r="F88" s="16">
        <f t="shared" si="1"/>
        <v>-46270</v>
      </c>
      <c r="G88" s="17" t="str">
        <f t="shared" si="2"/>
        <v>VENCIDO</v>
      </c>
      <c r="H88" s="12"/>
      <c r="I88" s="19"/>
      <c r="J88" s="20"/>
      <c r="K88" s="21"/>
      <c r="L88" s="12"/>
      <c r="M88" s="24"/>
      <c r="N88" s="12"/>
      <c r="O88" s="22"/>
      <c r="P88" s="23"/>
    </row>
    <row r="89" ht="22.5" customHeight="1">
      <c r="A89" s="85"/>
      <c r="B89" s="77"/>
      <c r="C89" s="57"/>
      <c r="D89" s="74"/>
      <c r="E89" s="13"/>
      <c r="F89" s="16">
        <f t="shared" si="1"/>
        <v>-46270</v>
      </c>
      <c r="G89" s="17" t="str">
        <f t="shared" si="2"/>
        <v>VENCIDO</v>
      </c>
      <c r="H89" s="12"/>
      <c r="I89" s="19"/>
      <c r="J89" s="20"/>
      <c r="K89" s="21"/>
      <c r="L89" s="12"/>
      <c r="M89" s="24"/>
      <c r="N89" s="12"/>
      <c r="O89" s="22"/>
      <c r="P89" s="43"/>
    </row>
    <row r="90" ht="22.5" customHeight="1">
      <c r="A90" s="8"/>
      <c r="B90" s="77"/>
      <c r="C90" s="35"/>
      <c r="D90" s="74"/>
      <c r="E90" s="13"/>
      <c r="F90" s="16">
        <f t="shared" si="1"/>
        <v>-46270</v>
      </c>
      <c r="G90" s="17" t="str">
        <f t="shared" si="2"/>
        <v>VENCIDO</v>
      </c>
      <c r="H90" s="12"/>
      <c r="I90" s="19"/>
      <c r="J90" s="20"/>
      <c r="K90" s="21"/>
      <c r="L90" s="12"/>
      <c r="M90" s="24"/>
      <c r="N90" s="12"/>
      <c r="O90" s="22"/>
      <c r="P90" s="43"/>
    </row>
    <row r="91" ht="22.5" customHeight="1">
      <c r="A91" s="8"/>
      <c r="B91" s="77"/>
      <c r="C91" s="57"/>
      <c r="D91" s="74"/>
      <c r="E91" s="13"/>
      <c r="F91" s="16">
        <f t="shared" si="1"/>
        <v>-46270</v>
      </c>
      <c r="G91" s="17" t="str">
        <f t="shared" si="2"/>
        <v>VENCIDO</v>
      </c>
      <c r="H91" s="12"/>
      <c r="I91" s="19"/>
      <c r="J91" s="20"/>
      <c r="K91" s="21"/>
      <c r="L91" s="12"/>
      <c r="M91" s="24"/>
      <c r="N91" s="12"/>
      <c r="O91" s="22"/>
      <c r="P91" s="43"/>
    </row>
    <row r="92" ht="22.5" customHeight="1">
      <c r="A92" s="8"/>
      <c r="B92" s="77"/>
      <c r="C92" s="79"/>
      <c r="D92" s="74"/>
      <c r="E92" s="13"/>
      <c r="F92" s="16">
        <f t="shared" si="1"/>
        <v>-46270</v>
      </c>
      <c r="G92" s="17" t="str">
        <f t="shared" si="2"/>
        <v>VENCIDO</v>
      </c>
      <c r="H92" s="12"/>
      <c r="I92" s="19"/>
      <c r="J92" s="20"/>
      <c r="K92" s="21"/>
      <c r="L92" s="12"/>
      <c r="M92" s="24"/>
      <c r="N92" s="12"/>
      <c r="O92" s="22"/>
      <c r="P92" s="43"/>
    </row>
    <row r="93" ht="22.5" customHeight="1">
      <c r="A93" s="8"/>
      <c r="B93" s="81"/>
      <c r="C93" s="35"/>
      <c r="D93" s="74"/>
      <c r="E93" s="13"/>
      <c r="F93" s="16">
        <f t="shared" si="1"/>
        <v>-46270</v>
      </c>
      <c r="G93" s="17" t="str">
        <f t="shared" si="2"/>
        <v>VENCIDO</v>
      </c>
      <c r="H93" s="12"/>
      <c r="I93" s="19"/>
      <c r="J93" s="20"/>
      <c r="K93" s="21"/>
      <c r="L93" s="12"/>
      <c r="M93" s="24"/>
      <c r="N93" s="30"/>
      <c r="O93" s="86"/>
      <c r="P93" s="43"/>
    </row>
    <row r="94" ht="22.5" customHeight="1">
      <c r="A94" s="35"/>
      <c r="B94" s="88"/>
      <c r="C94" s="35"/>
      <c r="D94" s="74"/>
      <c r="E94" s="13"/>
      <c r="F94" s="16">
        <f t="shared" si="1"/>
        <v>-46270</v>
      </c>
      <c r="G94" s="17" t="str">
        <f t="shared" si="2"/>
        <v>VENCIDO</v>
      </c>
      <c r="H94" s="12"/>
      <c r="I94" s="19"/>
      <c r="J94" s="20"/>
      <c r="K94" s="21"/>
      <c r="L94" s="12"/>
      <c r="M94" s="24"/>
      <c r="N94" s="30"/>
      <c r="O94" s="22"/>
      <c r="P94" s="43"/>
    </row>
    <row r="95" ht="22.5" customHeight="1">
      <c r="A95" s="35"/>
      <c r="B95" s="88"/>
      <c r="C95" s="35"/>
      <c r="D95" s="74"/>
      <c r="E95" s="13"/>
      <c r="F95" s="16">
        <f t="shared" si="1"/>
        <v>-46270</v>
      </c>
      <c r="G95" s="17" t="str">
        <f t="shared" si="2"/>
        <v>VENCIDO</v>
      </c>
      <c r="H95" s="12"/>
      <c r="I95" s="19"/>
      <c r="J95" s="20"/>
      <c r="K95" s="21"/>
      <c r="L95" s="12"/>
      <c r="M95" s="24"/>
      <c r="N95" s="30"/>
      <c r="O95" s="22"/>
      <c r="P95" s="43"/>
    </row>
    <row r="96" ht="22.5" customHeight="1">
      <c r="A96" s="35"/>
      <c r="B96" s="36"/>
      <c r="C96" s="57"/>
      <c r="D96" s="74"/>
      <c r="E96" s="13"/>
      <c r="F96" s="16">
        <f t="shared" si="1"/>
        <v>-46270</v>
      </c>
      <c r="G96" s="17" t="str">
        <f t="shared" si="2"/>
        <v>VENCIDO</v>
      </c>
      <c r="H96" s="12"/>
      <c r="I96" s="19"/>
      <c r="J96" s="20"/>
      <c r="K96" s="21"/>
      <c r="L96" s="12"/>
      <c r="M96" s="24"/>
      <c r="N96" s="30"/>
      <c r="O96" s="22"/>
      <c r="P96" s="43"/>
    </row>
    <row r="97" ht="22.5" customHeight="1">
      <c r="A97" s="35"/>
      <c r="B97" s="36"/>
      <c r="C97" s="57"/>
      <c r="D97" s="74"/>
      <c r="E97" s="13"/>
      <c r="F97" s="16">
        <f t="shared" si="1"/>
        <v>-46270</v>
      </c>
      <c r="G97" s="17" t="str">
        <f t="shared" si="2"/>
        <v>VENCIDO</v>
      </c>
      <c r="H97" s="12"/>
      <c r="I97" s="19"/>
      <c r="J97" s="20"/>
      <c r="K97" s="21"/>
      <c r="L97" s="12"/>
      <c r="M97" s="24"/>
      <c r="N97" s="30"/>
      <c r="O97" s="22"/>
      <c r="P97" s="43"/>
    </row>
    <row r="98">
      <c r="A98" s="89"/>
      <c r="B98" s="89"/>
      <c r="C98" s="89"/>
      <c r="D98" s="89"/>
      <c r="E98" s="89"/>
      <c r="F98" s="89"/>
      <c r="G98" s="89"/>
      <c r="H98" s="89"/>
      <c r="I98" s="89"/>
      <c r="J98" s="89"/>
      <c r="K98" s="89"/>
      <c r="L98" s="89"/>
      <c r="M98" s="89"/>
      <c r="N98" s="89"/>
      <c r="O98" s="89"/>
      <c r="P98" s="90"/>
    </row>
    <row r="99">
      <c r="A99" s="89"/>
      <c r="B99" s="89"/>
      <c r="C99" s="89"/>
      <c r="D99" s="89"/>
      <c r="E99" s="89"/>
      <c r="F99" s="89"/>
      <c r="G99" s="89"/>
      <c r="H99" s="89"/>
      <c r="I99" s="89"/>
      <c r="J99" s="89"/>
      <c r="K99" s="89"/>
      <c r="L99" s="89"/>
      <c r="M99" s="89"/>
      <c r="N99" s="89"/>
      <c r="O99" s="89"/>
      <c r="P99" s="90"/>
    </row>
    <row r="100">
      <c r="A100" s="89"/>
      <c r="B100" s="89"/>
      <c r="C100" s="89"/>
      <c r="D100" s="89"/>
      <c r="E100" s="89"/>
      <c r="F100" s="89"/>
      <c r="G100" s="89"/>
      <c r="H100" s="89"/>
      <c r="I100" s="89"/>
      <c r="J100" s="89"/>
      <c r="K100" s="89"/>
      <c r="L100" s="89"/>
      <c r="M100" s="89"/>
      <c r="N100" s="89"/>
      <c r="O100" s="89"/>
      <c r="P100" s="90"/>
    </row>
    <row r="101">
      <c r="A101" s="89"/>
      <c r="B101" s="89"/>
      <c r="C101" s="89"/>
      <c r="D101" s="89"/>
      <c r="E101" s="89"/>
      <c r="F101" s="89"/>
      <c r="G101" s="89"/>
      <c r="H101" s="89"/>
      <c r="I101" s="89"/>
      <c r="J101" s="89"/>
      <c r="K101" s="89"/>
      <c r="L101" s="89"/>
      <c r="M101" s="89"/>
      <c r="N101" s="89"/>
      <c r="O101" s="89"/>
      <c r="P101" s="90"/>
    </row>
    <row r="102">
      <c r="A102" s="89"/>
      <c r="B102" s="89"/>
      <c r="C102" s="89"/>
      <c r="D102" s="89"/>
      <c r="E102" s="89"/>
      <c r="F102" s="89"/>
      <c r="G102" s="89"/>
      <c r="H102" s="89"/>
      <c r="I102" s="89"/>
      <c r="J102" s="89"/>
      <c r="K102" s="89"/>
      <c r="L102" s="89"/>
      <c r="M102" s="89"/>
      <c r="N102" s="89"/>
      <c r="O102" s="89"/>
      <c r="P102" s="90"/>
    </row>
    <row r="103">
      <c r="A103" s="89"/>
      <c r="B103" s="89"/>
      <c r="C103" s="89"/>
      <c r="D103" s="89"/>
      <c r="E103" s="89"/>
      <c r="F103" s="89"/>
      <c r="G103" s="89"/>
      <c r="H103" s="89"/>
      <c r="I103" s="89"/>
      <c r="J103" s="89"/>
      <c r="K103" s="89"/>
      <c r="L103" s="89"/>
      <c r="M103" s="89"/>
      <c r="N103" s="89"/>
      <c r="O103" s="89"/>
      <c r="P103" s="90"/>
    </row>
    <row r="104">
      <c r="A104" s="89"/>
      <c r="B104" s="89"/>
      <c r="C104" s="89"/>
      <c r="D104" s="89"/>
      <c r="E104" s="89"/>
      <c r="F104" s="89"/>
      <c r="G104" s="89"/>
      <c r="H104" s="89"/>
      <c r="I104" s="89"/>
      <c r="J104" s="89"/>
      <c r="K104" s="89"/>
      <c r="L104" s="89"/>
      <c r="M104" s="89"/>
      <c r="N104" s="89"/>
      <c r="O104" s="89"/>
      <c r="P104" s="90"/>
    </row>
    <row r="105">
      <c r="A105" s="89"/>
      <c r="B105" s="89"/>
      <c r="C105" s="89"/>
      <c r="D105" s="89"/>
      <c r="E105" s="89"/>
      <c r="F105" s="89"/>
      <c r="G105" s="89"/>
      <c r="H105" s="89"/>
      <c r="I105" s="89"/>
      <c r="J105" s="89"/>
      <c r="K105" s="89"/>
      <c r="L105" s="89"/>
      <c r="M105" s="89"/>
      <c r="N105" s="89"/>
      <c r="O105" s="89"/>
      <c r="P105" s="90"/>
    </row>
    <row r="106">
      <c r="A106" s="89"/>
      <c r="B106" s="89"/>
      <c r="C106" s="89"/>
      <c r="D106" s="89"/>
      <c r="E106" s="89"/>
      <c r="F106" s="89"/>
      <c r="G106" s="89"/>
      <c r="H106" s="89"/>
      <c r="I106" s="89"/>
      <c r="J106" s="89"/>
      <c r="K106" s="89"/>
      <c r="L106" s="89"/>
      <c r="M106" s="89"/>
      <c r="N106" s="89"/>
      <c r="O106" s="89"/>
      <c r="P106" s="90"/>
    </row>
    <row r="107">
      <c r="A107" s="89"/>
      <c r="B107" s="89"/>
      <c r="C107" s="89"/>
      <c r="D107" s="89"/>
      <c r="E107" s="89"/>
      <c r="F107" s="89"/>
      <c r="G107" s="89"/>
      <c r="H107" s="89"/>
      <c r="I107" s="89"/>
      <c r="J107" s="89"/>
      <c r="K107" s="89"/>
      <c r="L107" s="89"/>
      <c r="M107" s="89"/>
      <c r="N107" s="89"/>
      <c r="O107" s="89"/>
      <c r="P107" s="90"/>
    </row>
    <row r="108">
      <c r="A108" s="89"/>
      <c r="B108" s="89"/>
      <c r="C108" s="89"/>
      <c r="D108" s="89"/>
      <c r="E108" s="89"/>
      <c r="F108" s="89"/>
      <c r="G108" s="89"/>
      <c r="H108" s="89"/>
      <c r="I108" s="89"/>
      <c r="J108" s="89"/>
      <c r="K108" s="89"/>
      <c r="L108" s="89"/>
      <c r="M108" s="89"/>
      <c r="N108" s="89"/>
      <c r="O108" s="89"/>
      <c r="P108" s="90"/>
    </row>
    <row r="109">
      <c r="A109" s="89"/>
      <c r="B109" s="89"/>
      <c r="C109" s="89"/>
      <c r="D109" s="89"/>
      <c r="E109" s="89"/>
      <c r="F109" s="89"/>
      <c r="G109" s="89"/>
      <c r="H109" s="89"/>
      <c r="I109" s="89"/>
      <c r="J109" s="89"/>
      <c r="K109" s="89"/>
      <c r="L109" s="89"/>
      <c r="M109" s="89"/>
      <c r="N109" s="89"/>
      <c r="O109" s="89"/>
      <c r="P109" s="90"/>
    </row>
    <row r="110">
      <c r="A110" s="89"/>
      <c r="B110" s="89"/>
      <c r="C110" s="89"/>
      <c r="D110" s="89"/>
      <c r="E110" s="89"/>
      <c r="F110" s="89"/>
      <c r="G110" s="89"/>
      <c r="H110" s="89"/>
      <c r="I110" s="89"/>
      <c r="J110" s="89"/>
      <c r="K110" s="89"/>
      <c r="L110" s="89"/>
      <c r="M110" s="89"/>
      <c r="N110" s="89"/>
      <c r="O110" s="89"/>
      <c r="P110" s="90"/>
    </row>
    <row r="111">
      <c r="A111" s="89"/>
      <c r="B111" s="89"/>
      <c r="C111" s="89"/>
      <c r="D111" s="89"/>
      <c r="E111" s="89"/>
      <c r="F111" s="89"/>
      <c r="G111" s="89"/>
      <c r="H111" s="89"/>
      <c r="I111" s="89"/>
      <c r="J111" s="89"/>
      <c r="K111" s="89"/>
      <c r="L111" s="89"/>
      <c r="M111" s="89"/>
      <c r="N111" s="89"/>
      <c r="O111" s="89"/>
      <c r="P111" s="90"/>
    </row>
    <row r="112">
      <c r="A112" s="89"/>
      <c r="B112" s="89"/>
      <c r="C112" s="89"/>
      <c r="D112" s="89"/>
      <c r="E112" s="89"/>
      <c r="F112" s="89"/>
      <c r="G112" s="89"/>
      <c r="H112" s="89"/>
      <c r="I112" s="89"/>
      <c r="J112" s="89"/>
      <c r="K112" s="89"/>
      <c r="L112" s="89"/>
      <c r="M112" s="89"/>
      <c r="N112" s="89"/>
      <c r="O112" s="89"/>
      <c r="P112" s="90"/>
    </row>
    <row r="113">
      <c r="A113" s="89"/>
      <c r="B113" s="89"/>
      <c r="C113" s="89"/>
      <c r="D113" s="89"/>
      <c r="E113" s="89"/>
      <c r="F113" s="89"/>
      <c r="G113" s="89"/>
      <c r="H113" s="89"/>
      <c r="I113" s="89"/>
      <c r="J113" s="89"/>
      <c r="K113" s="89"/>
      <c r="L113" s="89"/>
      <c r="M113" s="89"/>
      <c r="N113" s="89"/>
      <c r="O113" s="89"/>
      <c r="P113" s="90"/>
    </row>
    <row r="114">
      <c r="A114" s="89"/>
      <c r="B114" s="89"/>
      <c r="C114" s="89"/>
      <c r="D114" s="89"/>
      <c r="E114" s="89"/>
      <c r="F114" s="89"/>
      <c r="G114" s="89"/>
      <c r="H114" s="89"/>
      <c r="I114" s="89"/>
      <c r="J114" s="89"/>
      <c r="K114" s="89"/>
      <c r="L114" s="89"/>
      <c r="M114" s="89"/>
      <c r="N114" s="89"/>
      <c r="O114" s="89"/>
      <c r="P114" s="90"/>
    </row>
    <row r="115">
      <c r="A115" s="89"/>
      <c r="B115" s="89"/>
      <c r="C115" s="89"/>
      <c r="D115" s="89"/>
      <c r="E115" s="89"/>
      <c r="F115" s="89"/>
      <c r="G115" s="89"/>
      <c r="H115" s="89"/>
      <c r="I115" s="89"/>
      <c r="J115" s="89"/>
      <c r="K115" s="89"/>
      <c r="L115" s="89"/>
      <c r="M115" s="89"/>
      <c r="N115" s="89"/>
      <c r="O115" s="89"/>
      <c r="P115" s="90"/>
    </row>
    <row r="116">
      <c r="A116" s="89"/>
      <c r="B116" s="89"/>
      <c r="C116" s="89"/>
      <c r="D116" s="89"/>
      <c r="E116" s="89"/>
      <c r="F116" s="89"/>
      <c r="G116" s="89"/>
      <c r="H116" s="89"/>
      <c r="I116" s="89"/>
      <c r="J116" s="89"/>
      <c r="K116" s="89"/>
      <c r="L116" s="89"/>
      <c r="M116" s="89"/>
      <c r="N116" s="89"/>
      <c r="O116" s="89"/>
      <c r="P116" s="90"/>
    </row>
    <row r="117">
      <c r="A117" s="89"/>
      <c r="B117" s="89"/>
      <c r="C117" s="89"/>
      <c r="D117" s="89"/>
      <c r="E117" s="89"/>
      <c r="F117" s="89"/>
      <c r="G117" s="89"/>
      <c r="H117" s="89"/>
      <c r="I117" s="89"/>
      <c r="J117" s="89"/>
      <c r="K117" s="89"/>
      <c r="L117" s="89"/>
      <c r="M117" s="89"/>
      <c r="N117" s="89"/>
      <c r="O117" s="89"/>
      <c r="P117" s="90"/>
    </row>
    <row r="118">
      <c r="A118" s="89"/>
      <c r="B118" s="89"/>
      <c r="C118" s="89"/>
      <c r="D118" s="89"/>
      <c r="E118" s="89"/>
      <c r="F118" s="89"/>
      <c r="G118" s="89"/>
      <c r="H118" s="89"/>
      <c r="I118" s="89"/>
      <c r="J118" s="89"/>
      <c r="K118" s="89"/>
      <c r="L118" s="89"/>
      <c r="M118" s="89"/>
      <c r="N118" s="89"/>
      <c r="O118" s="89"/>
      <c r="P118" s="90"/>
    </row>
    <row r="119">
      <c r="A119" s="89"/>
      <c r="B119" s="89"/>
      <c r="C119" s="89"/>
      <c r="D119" s="89"/>
      <c r="E119" s="89"/>
      <c r="F119" s="89"/>
      <c r="G119" s="89"/>
      <c r="H119" s="89"/>
      <c r="I119" s="89"/>
      <c r="J119" s="89"/>
      <c r="K119" s="89"/>
      <c r="L119" s="89"/>
      <c r="M119" s="89"/>
      <c r="N119" s="89"/>
      <c r="O119" s="89"/>
      <c r="P119" s="90"/>
    </row>
    <row r="120">
      <c r="A120" s="89"/>
      <c r="B120" s="89"/>
      <c r="C120" s="89"/>
      <c r="D120" s="89"/>
      <c r="E120" s="89"/>
      <c r="F120" s="89"/>
      <c r="G120" s="89"/>
      <c r="H120" s="89"/>
      <c r="I120" s="89"/>
      <c r="J120" s="89"/>
      <c r="K120" s="89"/>
      <c r="L120" s="89"/>
      <c r="M120" s="89"/>
      <c r="N120" s="89"/>
      <c r="O120" s="89"/>
      <c r="P120" s="90"/>
    </row>
    <row r="121">
      <c r="A121" s="89"/>
      <c r="B121" s="89"/>
      <c r="C121" s="89"/>
      <c r="D121" s="89"/>
      <c r="E121" s="89"/>
      <c r="F121" s="89"/>
      <c r="G121" s="89"/>
      <c r="H121" s="89"/>
      <c r="I121" s="89"/>
      <c r="J121" s="89"/>
      <c r="K121" s="89"/>
      <c r="L121" s="89"/>
      <c r="M121" s="89"/>
      <c r="N121" s="89"/>
      <c r="O121" s="89"/>
      <c r="P121" s="90"/>
    </row>
    <row r="122">
      <c r="A122" s="89"/>
      <c r="B122" s="89"/>
      <c r="C122" s="89"/>
      <c r="D122" s="89"/>
      <c r="E122" s="89"/>
      <c r="F122" s="89"/>
      <c r="G122" s="89"/>
      <c r="H122" s="89"/>
      <c r="I122" s="89"/>
      <c r="J122" s="89"/>
      <c r="K122" s="89"/>
      <c r="L122" s="89"/>
      <c r="M122" s="89"/>
      <c r="N122" s="89"/>
      <c r="O122" s="89"/>
      <c r="P122" s="90"/>
    </row>
    <row r="123">
      <c r="A123" s="89"/>
      <c r="B123" s="89"/>
      <c r="C123" s="89"/>
      <c r="D123" s="89"/>
      <c r="E123" s="89"/>
      <c r="F123" s="89"/>
      <c r="G123" s="89"/>
      <c r="H123" s="89"/>
      <c r="I123" s="89"/>
      <c r="J123" s="89"/>
      <c r="K123" s="89"/>
      <c r="L123" s="89"/>
      <c r="M123" s="89"/>
      <c r="N123" s="89"/>
      <c r="O123" s="89"/>
      <c r="P123" s="90"/>
    </row>
    <row r="124">
      <c r="A124" s="89"/>
      <c r="B124" s="89"/>
      <c r="C124" s="89"/>
      <c r="D124" s="89"/>
      <c r="E124" s="89"/>
      <c r="F124" s="89"/>
      <c r="G124" s="89"/>
      <c r="H124" s="89"/>
      <c r="I124" s="89"/>
      <c r="J124" s="89"/>
      <c r="K124" s="89"/>
      <c r="L124" s="89"/>
      <c r="M124" s="89"/>
      <c r="N124" s="89"/>
      <c r="O124" s="89"/>
      <c r="P124" s="90"/>
    </row>
    <row r="125">
      <c r="A125" s="89"/>
      <c r="B125" s="89"/>
      <c r="C125" s="89"/>
      <c r="D125" s="89"/>
      <c r="E125" s="89"/>
      <c r="F125" s="89"/>
      <c r="G125" s="89"/>
      <c r="H125" s="89"/>
      <c r="I125" s="89"/>
      <c r="J125" s="89"/>
      <c r="K125" s="89"/>
      <c r="L125" s="89"/>
      <c r="M125" s="89"/>
      <c r="N125" s="89"/>
      <c r="O125" s="89"/>
      <c r="P125" s="90"/>
    </row>
    <row r="126">
      <c r="A126" s="89"/>
      <c r="B126" s="89"/>
      <c r="C126" s="89"/>
      <c r="D126" s="89"/>
      <c r="E126" s="89"/>
      <c r="F126" s="89"/>
      <c r="G126" s="89"/>
      <c r="H126" s="89"/>
      <c r="I126" s="89"/>
      <c r="J126" s="89"/>
      <c r="K126" s="89"/>
      <c r="L126" s="89"/>
      <c r="M126" s="89"/>
      <c r="N126" s="89"/>
      <c r="O126" s="89"/>
      <c r="P126" s="90"/>
    </row>
    <row r="127">
      <c r="A127" s="89"/>
      <c r="B127" s="89"/>
      <c r="C127" s="89"/>
      <c r="D127" s="89"/>
      <c r="E127" s="89"/>
      <c r="F127" s="89"/>
      <c r="G127" s="89"/>
      <c r="H127" s="89"/>
      <c r="I127" s="89"/>
      <c r="J127" s="89"/>
      <c r="K127" s="89"/>
      <c r="L127" s="89"/>
      <c r="M127" s="89"/>
      <c r="N127" s="89"/>
      <c r="O127" s="89"/>
      <c r="P127" s="90"/>
    </row>
    <row r="128">
      <c r="A128" s="89"/>
      <c r="B128" s="89"/>
      <c r="C128" s="89"/>
      <c r="D128" s="89"/>
      <c r="E128" s="89"/>
      <c r="F128" s="89"/>
      <c r="G128" s="89"/>
      <c r="H128" s="89"/>
      <c r="I128" s="89"/>
      <c r="J128" s="89"/>
      <c r="K128" s="89"/>
      <c r="L128" s="89"/>
      <c r="M128" s="89"/>
      <c r="N128" s="89"/>
      <c r="O128" s="89"/>
      <c r="P128" s="90"/>
    </row>
    <row r="129">
      <c r="A129" s="89"/>
      <c r="B129" s="89"/>
      <c r="C129" s="89"/>
      <c r="D129" s="89"/>
      <c r="E129" s="89"/>
      <c r="F129" s="89"/>
      <c r="G129" s="89"/>
      <c r="H129" s="89"/>
      <c r="I129" s="89"/>
      <c r="J129" s="89"/>
      <c r="K129" s="89"/>
      <c r="L129" s="89"/>
      <c r="M129" s="89"/>
      <c r="N129" s="89"/>
      <c r="O129" s="89"/>
      <c r="P129" s="90"/>
    </row>
    <row r="130">
      <c r="A130" s="89"/>
      <c r="B130" s="89"/>
      <c r="C130" s="89"/>
      <c r="D130" s="89"/>
      <c r="E130" s="89"/>
      <c r="F130" s="89"/>
      <c r="G130" s="89"/>
      <c r="H130" s="89"/>
      <c r="I130" s="89"/>
      <c r="J130" s="89"/>
      <c r="K130" s="89"/>
      <c r="L130" s="89"/>
      <c r="M130" s="89"/>
      <c r="N130" s="89"/>
      <c r="O130" s="89"/>
      <c r="P130" s="90"/>
    </row>
    <row r="131">
      <c r="A131" s="89"/>
      <c r="B131" s="89"/>
      <c r="C131" s="89"/>
      <c r="D131" s="89"/>
      <c r="E131" s="89"/>
      <c r="F131" s="89"/>
      <c r="G131" s="89"/>
      <c r="H131" s="89"/>
      <c r="I131" s="89"/>
      <c r="J131" s="89"/>
      <c r="K131" s="89"/>
      <c r="L131" s="89"/>
      <c r="M131" s="89"/>
      <c r="N131" s="89"/>
      <c r="O131" s="89"/>
      <c r="P131" s="90"/>
    </row>
    <row r="132">
      <c r="A132" s="89"/>
      <c r="B132" s="89"/>
      <c r="C132" s="89"/>
      <c r="D132" s="89"/>
      <c r="E132" s="89"/>
      <c r="F132" s="89"/>
      <c r="G132" s="89"/>
      <c r="H132" s="89"/>
      <c r="I132" s="89"/>
      <c r="J132" s="89"/>
      <c r="K132" s="89"/>
      <c r="L132" s="89"/>
      <c r="M132" s="89"/>
      <c r="N132" s="89"/>
      <c r="O132" s="89"/>
      <c r="P132" s="90"/>
    </row>
    <row r="133">
      <c r="A133" s="89"/>
      <c r="B133" s="89"/>
      <c r="C133" s="89"/>
      <c r="D133" s="89"/>
      <c r="E133" s="89"/>
      <c r="F133" s="89"/>
      <c r="G133" s="89"/>
      <c r="H133" s="89"/>
      <c r="I133" s="89"/>
      <c r="J133" s="89"/>
      <c r="K133" s="89"/>
      <c r="L133" s="89"/>
      <c r="M133" s="89"/>
      <c r="N133" s="89"/>
      <c r="O133" s="89"/>
      <c r="P133" s="90"/>
    </row>
    <row r="134">
      <c r="A134" s="89"/>
      <c r="B134" s="89"/>
      <c r="C134" s="89"/>
      <c r="D134" s="89"/>
      <c r="E134" s="89"/>
      <c r="F134" s="89"/>
      <c r="G134" s="89"/>
      <c r="H134" s="89"/>
      <c r="I134" s="89"/>
      <c r="J134" s="89"/>
      <c r="K134" s="89"/>
      <c r="L134" s="89"/>
      <c r="M134" s="89"/>
      <c r="N134" s="89"/>
      <c r="O134" s="89"/>
      <c r="P134" s="90"/>
    </row>
    <row r="135">
      <c r="A135" s="89"/>
      <c r="B135" s="89"/>
      <c r="C135" s="89"/>
      <c r="D135" s="89"/>
      <c r="E135" s="89"/>
      <c r="F135" s="89"/>
      <c r="G135" s="89"/>
      <c r="H135" s="89"/>
      <c r="I135" s="89"/>
      <c r="J135" s="89"/>
      <c r="K135" s="89"/>
      <c r="L135" s="89"/>
      <c r="M135" s="89"/>
      <c r="N135" s="89"/>
      <c r="O135" s="89"/>
      <c r="P135" s="89"/>
    </row>
    <row r="136">
      <c r="A136" s="89"/>
      <c r="B136" s="89"/>
      <c r="C136" s="89"/>
      <c r="D136" s="89"/>
      <c r="E136" s="89"/>
      <c r="F136" s="89"/>
      <c r="G136" s="89"/>
      <c r="H136" s="89"/>
      <c r="I136" s="89"/>
      <c r="J136" s="89"/>
      <c r="K136" s="89"/>
      <c r="L136" s="89"/>
      <c r="M136" s="89"/>
      <c r="N136" s="89"/>
      <c r="O136" s="89"/>
      <c r="P136" s="89"/>
    </row>
    <row r="137">
      <c r="A137" s="89"/>
      <c r="B137" s="89"/>
      <c r="C137" s="89"/>
      <c r="D137" s="89"/>
      <c r="E137" s="89"/>
      <c r="F137" s="89"/>
      <c r="G137" s="89"/>
      <c r="H137" s="89"/>
      <c r="I137" s="89"/>
      <c r="J137" s="89"/>
      <c r="K137" s="89"/>
      <c r="L137" s="89"/>
      <c r="M137" s="89"/>
      <c r="N137" s="89"/>
      <c r="O137" s="89"/>
      <c r="P137" s="89"/>
    </row>
    <row r="138">
      <c r="A138" s="89"/>
      <c r="B138" s="89"/>
      <c r="C138" s="89"/>
      <c r="D138" s="89"/>
      <c r="E138" s="89"/>
      <c r="F138" s="89"/>
      <c r="G138" s="89"/>
      <c r="H138" s="89"/>
      <c r="I138" s="89"/>
      <c r="J138" s="89"/>
      <c r="K138" s="89"/>
      <c r="L138" s="89"/>
      <c r="M138" s="89"/>
      <c r="N138" s="89"/>
      <c r="O138" s="89"/>
      <c r="P138" s="89"/>
    </row>
    <row r="139">
      <c r="A139" s="89"/>
      <c r="B139" s="89"/>
      <c r="C139" s="89"/>
      <c r="D139" s="89"/>
      <c r="E139" s="89"/>
      <c r="F139" s="89"/>
      <c r="G139" s="89"/>
      <c r="H139" s="89"/>
      <c r="I139" s="89"/>
      <c r="J139" s="89"/>
      <c r="K139" s="89"/>
      <c r="L139" s="89"/>
      <c r="M139" s="89"/>
      <c r="N139" s="89"/>
      <c r="O139" s="89"/>
      <c r="P139" s="89"/>
    </row>
    <row r="140">
      <c r="A140" s="89"/>
      <c r="B140" s="89"/>
      <c r="C140" s="89"/>
      <c r="D140" s="89"/>
      <c r="E140" s="89"/>
      <c r="F140" s="89"/>
      <c r="G140" s="89"/>
      <c r="H140" s="89"/>
      <c r="I140" s="89"/>
      <c r="J140" s="89"/>
      <c r="K140" s="89"/>
      <c r="L140" s="89"/>
      <c r="M140" s="89"/>
      <c r="N140" s="89"/>
      <c r="O140" s="89"/>
      <c r="P140" s="89"/>
    </row>
    <row r="141">
      <c r="A141" s="89"/>
      <c r="B141" s="89"/>
      <c r="C141" s="89"/>
      <c r="D141" s="89"/>
      <c r="E141" s="89"/>
      <c r="F141" s="89"/>
      <c r="G141" s="89"/>
      <c r="H141" s="89"/>
      <c r="I141" s="89"/>
      <c r="J141" s="89"/>
      <c r="K141" s="89"/>
      <c r="L141" s="89"/>
      <c r="M141" s="89"/>
      <c r="N141" s="89"/>
      <c r="O141" s="89"/>
      <c r="P141" s="89"/>
    </row>
    <row r="142">
      <c r="A142" s="89"/>
      <c r="B142" s="89"/>
      <c r="C142" s="89"/>
      <c r="D142" s="89"/>
      <c r="E142" s="89"/>
      <c r="F142" s="89"/>
      <c r="G142" s="89"/>
      <c r="H142" s="89"/>
      <c r="I142" s="89"/>
      <c r="J142" s="89"/>
      <c r="K142" s="89"/>
      <c r="L142" s="89"/>
      <c r="M142" s="89"/>
      <c r="N142" s="89"/>
      <c r="O142" s="89"/>
      <c r="P142" s="89"/>
    </row>
    <row r="143">
      <c r="A143" s="89"/>
      <c r="B143" s="89"/>
      <c r="C143" s="89"/>
      <c r="D143" s="89"/>
      <c r="E143" s="89"/>
      <c r="F143" s="89"/>
      <c r="G143" s="89"/>
      <c r="H143" s="89"/>
      <c r="I143" s="89"/>
      <c r="J143" s="89"/>
      <c r="K143" s="89"/>
      <c r="L143" s="89"/>
      <c r="M143" s="89"/>
      <c r="N143" s="89"/>
      <c r="O143" s="89"/>
      <c r="P143" s="89"/>
    </row>
    <row r="144">
      <c r="A144" s="89"/>
      <c r="B144" s="89"/>
      <c r="C144" s="89"/>
      <c r="D144" s="89"/>
      <c r="E144" s="89"/>
      <c r="F144" s="89"/>
      <c r="G144" s="89"/>
      <c r="H144" s="89"/>
      <c r="I144" s="89"/>
      <c r="J144" s="89"/>
      <c r="K144" s="89"/>
      <c r="L144" s="89"/>
      <c r="M144" s="89"/>
      <c r="N144" s="89"/>
      <c r="O144" s="89"/>
      <c r="P144" s="89"/>
    </row>
    <row r="145">
      <c r="A145" s="89"/>
      <c r="B145" s="89"/>
      <c r="C145" s="89"/>
      <c r="D145" s="89"/>
      <c r="E145" s="89"/>
      <c r="F145" s="89"/>
      <c r="G145" s="89"/>
      <c r="H145" s="89"/>
      <c r="I145" s="89"/>
      <c r="J145" s="89"/>
      <c r="K145" s="89"/>
      <c r="L145" s="89"/>
      <c r="M145" s="89"/>
      <c r="N145" s="89"/>
      <c r="O145" s="89"/>
      <c r="P145" s="89"/>
    </row>
    <row r="146">
      <c r="A146" s="89"/>
      <c r="B146" s="89"/>
      <c r="C146" s="89"/>
      <c r="D146" s="89"/>
      <c r="E146" s="89"/>
      <c r="F146" s="89"/>
      <c r="G146" s="89"/>
      <c r="H146" s="89"/>
      <c r="I146" s="89"/>
      <c r="J146" s="89"/>
      <c r="K146" s="89"/>
      <c r="L146" s="89"/>
      <c r="M146" s="89"/>
      <c r="N146" s="89"/>
      <c r="O146" s="89"/>
      <c r="P146" s="89"/>
    </row>
    <row r="147">
      <c r="A147" s="89"/>
      <c r="B147" s="89"/>
      <c r="C147" s="89"/>
      <c r="D147" s="89"/>
      <c r="E147" s="89"/>
      <c r="F147" s="89"/>
      <c r="G147" s="89"/>
      <c r="H147" s="89"/>
      <c r="I147" s="89"/>
      <c r="J147" s="89"/>
      <c r="K147" s="89"/>
      <c r="L147" s="89"/>
      <c r="M147" s="89"/>
      <c r="N147" s="89"/>
      <c r="O147" s="89"/>
      <c r="P147" s="89"/>
    </row>
    <row r="148">
      <c r="A148" s="89"/>
      <c r="B148" s="89"/>
      <c r="C148" s="89"/>
      <c r="D148" s="89"/>
      <c r="E148" s="89"/>
      <c r="F148" s="89"/>
      <c r="G148" s="89"/>
      <c r="H148" s="89"/>
      <c r="I148" s="89"/>
      <c r="J148" s="89"/>
      <c r="K148" s="89"/>
      <c r="L148" s="89"/>
      <c r="M148" s="89"/>
      <c r="N148" s="89"/>
      <c r="O148" s="89"/>
      <c r="P148" s="89"/>
    </row>
    <row r="149">
      <c r="A149" s="89"/>
      <c r="B149" s="89"/>
      <c r="C149" s="89"/>
      <c r="D149" s="89"/>
      <c r="E149" s="89"/>
      <c r="F149" s="89"/>
      <c r="G149" s="89"/>
      <c r="H149" s="89"/>
      <c r="I149" s="89"/>
      <c r="J149" s="89"/>
      <c r="K149" s="89"/>
      <c r="L149" s="89"/>
      <c r="M149" s="89"/>
      <c r="N149" s="89"/>
      <c r="O149" s="89"/>
      <c r="P149" s="89"/>
    </row>
    <row r="150">
      <c r="A150" s="89"/>
      <c r="B150" s="89"/>
      <c r="C150" s="89"/>
      <c r="D150" s="89"/>
      <c r="E150" s="89"/>
      <c r="F150" s="89"/>
      <c r="G150" s="89"/>
      <c r="H150" s="89"/>
      <c r="I150" s="89"/>
      <c r="J150" s="89"/>
      <c r="K150" s="89"/>
      <c r="L150" s="89"/>
      <c r="M150" s="89"/>
      <c r="N150" s="89"/>
      <c r="O150" s="89"/>
      <c r="P150" s="89"/>
    </row>
    <row r="151">
      <c r="A151" s="89"/>
      <c r="B151" s="89"/>
      <c r="C151" s="89"/>
      <c r="D151" s="89"/>
      <c r="E151" s="89"/>
      <c r="F151" s="89"/>
      <c r="G151" s="89"/>
      <c r="H151" s="89"/>
      <c r="I151" s="89"/>
      <c r="J151" s="89"/>
      <c r="K151" s="89"/>
      <c r="L151" s="89"/>
      <c r="M151" s="89"/>
      <c r="N151" s="89"/>
      <c r="O151" s="89"/>
      <c r="P151" s="89"/>
    </row>
    <row r="152">
      <c r="A152" s="89"/>
      <c r="B152" s="89"/>
      <c r="C152" s="89"/>
      <c r="D152" s="89"/>
      <c r="E152" s="89"/>
      <c r="F152" s="89"/>
      <c r="G152" s="89"/>
      <c r="H152" s="89"/>
      <c r="I152" s="89"/>
      <c r="J152" s="89"/>
      <c r="K152" s="89"/>
      <c r="L152" s="89"/>
      <c r="M152" s="89"/>
      <c r="N152" s="89"/>
      <c r="O152" s="89"/>
      <c r="P152" s="89"/>
    </row>
    <row r="153">
      <c r="A153" s="89"/>
      <c r="B153" s="89"/>
      <c r="C153" s="89"/>
      <c r="D153" s="89"/>
      <c r="E153" s="89"/>
      <c r="F153" s="89"/>
      <c r="G153" s="89"/>
      <c r="H153" s="89"/>
      <c r="I153" s="89"/>
      <c r="J153" s="89"/>
      <c r="K153" s="89"/>
      <c r="L153" s="89"/>
      <c r="M153" s="89"/>
      <c r="N153" s="89"/>
      <c r="O153" s="89"/>
      <c r="P153" s="89"/>
    </row>
    <row r="154">
      <c r="A154" s="89"/>
      <c r="B154" s="89"/>
      <c r="C154" s="89"/>
      <c r="D154" s="89"/>
      <c r="E154" s="89"/>
      <c r="F154" s="89"/>
      <c r="G154" s="89"/>
      <c r="H154" s="89"/>
      <c r="I154" s="89"/>
      <c r="J154" s="89"/>
      <c r="K154" s="89"/>
      <c r="L154" s="89"/>
      <c r="M154" s="89"/>
      <c r="N154" s="89"/>
      <c r="O154" s="89"/>
      <c r="P154" s="89"/>
    </row>
    <row r="155">
      <c r="A155" s="89"/>
      <c r="B155" s="89"/>
      <c r="C155" s="89"/>
      <c r="D155" s="89"/>
      <c r="E155" s="89"/>
      <c r="F155" s="89"/>
      <c r="G155" s="89"/>
      <c r="H155" s="89"/>
      <c r="I155" s="89"/>
      <c r="J155" s="89"/>
      <c r="K155" s="89"/>
      <c r="L155" s="89"/>
      <c r="M155" s="89"/>
      <c r="N155" s="89"/>
      <c r="O155" s="89"/>
      <c r="P155" s="89"/>
    </row>
    <row r="156">
      <c r="A156" s="89"/>
      <c r="B156" s="89"/>
      <c r="C156" s="89"/>
      <c r="D156" s="89"/>
      <c r="E156" s="89"/>
      <c r="F156" s="89"/>
      <c r="G156" s="89"/>
      <c r="H156" s="89"/>
      <c r="I156" s="89"/>
      <c r="J156" s="89"/>
      <c r="K156" s="89"/>
      <c r="L156" s="89"/>
      <c r="M156" s="89"/>
      <c r="N156" s="89"/>
      <c r="O156" s="89"/>
      <c r="P156" s="89"/>
    </row>
    <row r="157">
      <c r="A157" s="89"/>
      <c r="B157" s="89"/>
      <c r="C157" s="89"/>
      <c r="D157" s="89"/>
      <c r="E157" s="89"/>
      <c r="F157" s="89"/>
      <c r="G157" s="89"/>
      <c r="H157" s="89"/>
      <c r="I157" s="89"/>
      <c r="J157" s="89"/>
      <c r="K157" s="89"/>
      <c r="L157" s="89"/>
      <c r="M157" s="89"/>
      <c r="N157" s="89"/>
      <c r="O157" s="89"/>
      <c r="P157" s="89"/>
    </row>
    <row r="158">
      <c r="A158" s="89"/>
      <c r="B158" s="89"/>
      <c r="C158" s="89"/>
      <c r="D158" s="89"/>
      <c r="E158" s="89"/>
      <c r="F158" s="89"/>
      <c r="G158" s="89"/>
      <c r="H158" s="89"/>
      <c r="I158" s="89"/>
      <c r="J158" s="89"/>
      <c r="K158" s="89"/>
      <c r="L158" s="89"/>
      <c r="M158" s="89"/>
      <c r="N158" s="89"/>
      <c r="O158" s="89"/>
      <c r="P158" s="89"/>
    </row>
    <row r="159">
      <c r="A159" s="89"/>
      <c r="B159" s="89"/>
      <c r="C159" s="89"/>
      <c r="D159" s="89"/>
      <c r="E159" s="89"/>
      <c r="F159" s="89"/>
      <c r="G159" s="89"/>
      <c r="H159" s="89"/>
      <c r="I159" s="89"/>
      <c r="J159" s="89"/>
      <c r="K159" s="89"/>
      <c r="L159" s="89"/>
      <c r="M159" s="89"/>
      <c r="N159" s="89"/>
      <c r="O159" s="89"/>
      <c r="P159" s="89"/>
    </row>
    <row r="160">
      <c r="A160" s="89"/>
      <c r="B160" s="89"/>
      <c r="C160" s="89"/>
      <c r="D160" s="89"/>
      <c r="E160" s="89"/>
      <c r="F160" s="89"/>
      <c r="G160" s="89"/>
      <c r="H160" s="89"/>
      <c r="I160" s="89"/>
      <c r="J160" s="89"/>
      <c r="K160" s="89"/>
      <c r="L160" s="89"/>
      <c r="M160" s="89"/>
      <c r="N160" s="89"/>
      <c r="O160" s="89"/>
      <c r="P160" s="89"/>
    </row>
    <row r="161">
      <c r="A161" s="89"/>
      <c r="B161" s="89"/>
      <c r="C161" s="89"/>
      <c r="D161" s="89"/>
      <c r="E161" s="89"/>
      <c r="F161" s="89"/>
      <c r="G161" s="89"/>
      <c r="H161" s="89"/>
      <c r="I161" s="89"/>
      <c r="J161" s="89"/>
      <c r="K161" s="89"/>
      <c r="L161" s="89"/>
      <c r="M161" s="89"/>
      <c r="N161" s="89"/>
      <c r="O161" s="89"/>
      <c r="P161" s="89"/>
    </row>
    <row r="162">
      <c r="A162" s="89"/>
      <c r="B162" s="89"/>
      <c r="C162" s="89"/>
      <c r="D162" s="89"/>
      <c r="E162" s="89"/>
      <c r="F162" s="89"/>
      <c r="G162" s="89"/>
      <c r="H162" s="89"/>
      <c r="I162" s="89"/>
      <c r="J162" s="89"/>
      <c r="K162" s="89"/>
      <c r="L162" s="89"/>
      <c r="M162" s="89"/>
      <c r="N162" s="89"/>
      <c r="O162" s="89"/>
      <c r="P162" s="89"/>
    </row>
    <row r="163">
      <c r="A163" s="89"/>
      <c r="B163" s="89"/>
      <c r="C163" s="89"/>
      <c r="D163" s="89"/>
      <c r="E163" s="89"/>
      <c r="F163" s="89"/>
      <c r="G163" s="89"/>
      <c r="H163" s="89"/>
      <c r="I163" s="89"/>
      <c r="J163" s="89"/>
      <c r="K163" s="89"/>
      <c r="L163" s="89"/>
      <c r="M163" s="89"/>
      <c r="N163" s="89"/>
      <c r="O163" s="89"/>
      <c r="P163" s="89"/>
    </row>
    <row r="164">
      <c r="A164" s="89"/>
      <c r="B164" s="89"/>
      <c r="C164" s="89"/>
      <c r="D164" s="89"/>
      <c r="E164" s="89"/>
      <c r="F164" s="89"/>
      <c r="G164" s="89"/>
      <c r="H164" s="89"/>
      <c r="I164" s="89"/>
      <c r="J164" s="89"/>
      <c r="K164" s="89"/>
      <c r="L164" s="89"/>
      <c r="M164" s="89"/>
      <c r="N164" s="89"/>
      <c r="O164" s="89"/>
      <c r="P164" s="89"/>
    </row>
    <row r="165">
      <c r="A165" s="89"/>
      <c r="B165" s="89"/>
      <c r="C165" s="89"/>
      <c r="D165" s="89"/>
      <c r="E165" s="89"/>
      <c r="F165" s="89"/>
      <c r="G165" s="89"/>
      <c r="H165" s="89"/>
      <c r="I165" s="89"/>
      <c r="J165" s="89"/>
      <c r="K165" s="89"/>
      <c r="L165" s="89"/>
      <c r="M165" s="89"/>
      <c r="N165" s="89"/>
      <c r="O165" s="89"/>
      <c r="P165" s="89"/>
    </row>
  </sheetData>
  <customSheetViews>
    <customSheetView guid="{C86A41E8-7269-474F-8929-DD0E7C2A7897}" filter="1" showAutoFilter="1">
      <autoFilter ref="$A$1:$P$97">
        <sortState ref="A1:P97">
          <sortCondition ref="E1:E97"/>
          <sortCondition ref="B1:B97"/>
          <sortCondition ref="A1:A97"/>
          <sortCondition ref="C1:C97"/>
        </sortState>
      </autoFilter>
    </customSheetView>
    <customSheetView guid="{5D13EBCA-B411-43CE-9126-E66831C909FA}" filter="1" showAutoFilter="1">
      <autoFilter ref="$A$1:$P$97">
        <sortState ref="A1:P97">
          <sortCondition ref="E1:E97"/>
        </sortState>
      </autoFilter>
    </customSheetView>
  </customSheetViews>
  <conditionalFormatting sqref="I4:I6 I18 I27 I34:I35 H44 I44:I45 L44:M44 I47">
    <cfRule type="expression" dxfId="5" priority="1">
      <formula>COUNTIF(#REF!,#REF!)</formula>
    </cfRule>
  </conditionalFormatting>
  <conditionalFormatting sqref="H14:H15 M27 H61:H63">
    <cfRule type="expression" dxfId="5" priority="2">
      <formula>COUNTIF(#REF!,$I14)</formula>
    </cfRule>
  </conditionalFormatting>
  <conditionalFormatting sqref="H48:I48 H57:I57">
    <cfRule type="expression" dxfId="5" priority="3">
      <formula>COUNTIF(#REF!,$I48)</formula>
    </cfRule>
  </conditionalFormatting>
  <conditionalFormatting sqref="I8:I15 H12:H13 L12:M13 H20:H26 L20:M26 H28:I30 L28:L30 M29:M30 H32:H38 L32:M38 H40:H43 L40:M43 I41:I43 H47 I47:I56 L47:M47 H49:H54 L49:M56 H56 H58:H60 I58:I63 L58:M60">
    <cfRule type="expression" dxfId="6" priority="4">
      <formula>COUNTIF($O$40:$O$69,#REF!)</formula>
    </cfRule>
  </conditionalFormatting>
  <conditionalFormatting sqref="I4:I7 I18 I20:I25 H27:I27 M27 I34:I35 I44:I45 I47:I48 H48 L48:M48 H57:I57 L57">
    <cfRule type="expression" dxfId="6" priority="5">
      <formula>COUNTIF($Q$52:$Q$144,#REF!)</formula>
    </cfRule>
  </conditionalFormatting>
  <conditionalFormatting sqref="H16:H19 I17:I19 L46:M46">
    <cfRule type="expression" dxfId="6" priority="6">
      <formula>COUNTIF($P$56:$P$70,#REF!)</formula>
    </cfRule>
  </conditionalFormatting>
  <conditionalFormatting sqref="H16:H19 I17:I19 L46:M46">
    <cfRule type="expression" dxfId="5" priority="7">
      <formula>COUNTIF($M$56:$M$152,#REF!)</formula>
    </cfRule>
  </conditionalFormatting>
  <conditionalFormatting sqref="I32:I40 H39">
    <cfRule type="expression" dxfId="5" priority="8">
      <formula>COUNTIF(#REF!,$I32)</formula>
    </cfRule>
  </conditionalFormatting>
  <conditionalFormatting sqref="I32:I39 H39 M39">
    <cfRule type="expression" dxfId="6" priority="9">
      <formula>COUNTIF($Q$52:$Q$144,$I32)</formula>
    </cfRule>
  </conditionalFormatting>
  <conditionalFormatting sqref="I20:I25 H27:I27">
    <cfRule type="expression" dxfId="5" priority="10">
      <formula>COUNTIF(#REF!,$I20)</formula>
    </cfRule>
  </conditionalFormatting>
  <conditionalFormatting sqref="I40">
    <cfRule type="expression" dxfId="6" priority="11">
      <formula>COUNTIF($Q$52:$Q$144,$I40)</formula>
    </cfRule>
  </conditionalFormatting>
  <conditionalFormatting sqref="H45:I45">
    <cfRule type="expression" dxfId="6" priority="12">
      <formula>COUNTIF($P$56:$P$70,#REF!)</formula>
    </cfRule>
  </conditionalFormatting>
  <conditionalFormatting sqref="H45:I45">
    <cfRule type="expression" dxfId="5" priority="13">
      <formula>COUNTIF($M$56:$M$152,#REF!)</formula>
    </cfRule>
  </conditionalFormatting>
  <conditionalFormatting sqref="H46:I46">
    <cfRule type="expression" dxfId="6" priority="14">
      <formula>COUNTIF($P$56:$P$70,#REF!)</formula>
    </cfRule>
  </conditionalFormatting>
  <conditionalFormatting sqref="H46:I46">
    <cfRule type="expression" dxfId="5" priority="15">
      <formula>COUNTIF($M$56:$M$152,#REF!)</formula>
    </cfRule>
  </conditionalFormatting>
  <conditionalFormatting sqref="G1:G168">
    <cfRule type="containsText" dxfId="7" priority="16" operator="containsText" text="VENCIDO">
      <formula>NOT(ISERROR(SEARCH(("VENCIDO"),(G1))))</formula>
    </cfRule>
  </conditionalFormatting>
  <conditionalFormatting sqref="G1:G168">
    <cfRule type="containsText" dxfId="8" priority="17" operator="containsText" text="VIGENTE">
      <formula>NOT(ISERROR(SEARCH(("VIGENTE"),(G1))))</formula>
    </cfRule>
  </conditionalFormatting>
  <conditionalFormatting sqref="G2:G168">
    <cfRule type="containsText" dxfId="9" priority="18" operator="containsText" text="POR VENCER">
      <formula>NOT(ISERROR(SEARCH(("POR VENCER"),(G2))))</formula>
    </cfRule>
  </conditionalFormatting>
  <dataValidations>
    <dataValidation type="custom" allowBlank="1" showDropDown="1" sqref="D2:E97">
      <formula1>OR(NOT(ISERROR(DATEVALUE(D2))), AND(ISNUMBER(D2), LEFT(CELL("format", D2))="D"))</formula1>
    </dataValidation>
    <dataValidation type="custom" allowBlank="1" showDropDown="1" sqref="F2:F97 I2:I97">
      <formula1>AND(ISNUMBER(F2),(NOT(OR(NOT(ISERROR(DATEVALUE(F2))), AND(ISNUMBER(F2), LEFT(CELL("format", F2))="D")))))</formula1>
    </dataValidation>
    <dataValidation type="list" allowBlank="1" sqref="J2:J97">
      <formula1>"BANESCO,VENEZUELA"</formula1>
    </dataValidation>
    <dataValidation allowBlank="1" showDropDown="1" sqref="K2:K97"/>
  </dataValidations>
  <drawing r:id="rId1"/>
  <tableParts count="2"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7.0"/>
    <col customWidth="1" min="2" max="2" width="18.88"/>
    <col customWidth="1" min="3" max="4" width="22.63"/>
    <col customWidth="1" min="5" max="5" width="23.5"/>
    <col customWidth="1" min="6" max="6" width="22.63"/>
    <col customWidth="1" min="7" max="7" width="16.13"/>
    <col customWidth="1" min="8" max="8" width="19.63"/>
    <col customWidth="1" min="9" max="9" width="14.63"/>
    <col customWidth="1" min="10" max="10" width="14.38"/>
    <col customWidth="1" min="11" max="11" width="12.63"/>
    <col customWidth="1" min="12" max="12" width="15.25"/>
    <col customWidth="1" min="13" max="13" width="15.13"/>
    <col customWidth="1" min="14" max="14" width="22.88"/>
  </cols>
  <sheetData>
    <row r="1" ht="22.5" customHeight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5" t="s">
        <v>13</v>
      </c>
      <c r="O1" s="6" t="s">
        <v>14</v>
      </c>
      <c r="P1" s="7" t="s">
        <v>15</v>
      </c>
    </row>
    <row r="2" ht="22.5" customHeight="1">
      <c r="A2" s="9" t="s">
        <v>17</v>
      </c>
      <c r="B2" s="11" t="s">
        <v>19</v>
      </c>
      <c r="C2" s="12" t="s">
        <v>21</v>
      </c>
      <c r="D2" s="13">
        <v>46260.0</v>
      </c>
      <c r="E2" s="13">
        <v>46292.0</v>
      </c>
      <c r="F2" s="16">
        <f t="shared" ref="F2:F97" si="1">E2-$X$2</f>
        <v>22</v>
      </c>
      <c r="G2" s="17" t="str">
        <f t="shared" ref="G2:G97" si="2">IF(F2&lt;=0,$W$9,IF(F2&lt;=$X$7,$W$11,$W$16))</f>
        <v>VIGENTE</v>
      </c>
      <c r="H2" s="12" t="s">
        <v>23</v>
      </c>
      <c r="I2" s="19">
        <v>4.0</v>
      </c>
      <c r="J2" s="20"/>
      <c r="K2" s="21"/>
      <c r="L2" s="12" t="s">
        <v>25</v>
      </c>
      <c r="M2" s="24">
        <v>4.121461745E9</v>
      </c>
      <c r="N2" s="12"/>
      <c r="O2" s="22"/>
      <c r="P2" s="23" t="s">
        <v>27</v>
      </c>
      <c r="X2" s="25">
        <f>TODAY()</f>
        <v>46270</v>
      </c>
    </row>
    <row r="3" ht="22.5" customHeight="1">
      <c r="A3" s="9" t="s">
        <v>17</v>
      </c>
      <c r="B3" s="26" t="s">
        <v>19</v>
      </c>
      <c r="C3" s="1" t="s">
        <v>21</v>
      </c>
      <c r="D3" s="28">
        <v>46220.0</v>
      </c>
      <c r="E3" s="28">
        <v>46312.0</v>
      </c>
      <c r="F3" s="16">
        <f t="shared" si="1"/>
        <v>42</v>
      </c>
      <c r="G3" s="17" t="str">
        <f t="shared" si="2"/>
        <v>VIGENTE</v>
      </c>
      <c r="H3" s="12" t="s">
        <v>30</v>
      </c>
      <c r="I3" s="19">
        <v>4.0</v>
      </c>
      <c r="J3" s="20"/>
      <c r="K3" s="21"/>
      <c r="L3" s="12" t="s">
        <v>31</v>
      </c>
      <c r="M3" s="24">
        <v>1.6124418159E10</v>
      </c>
      <c r="N3" s="30"/>
      <c r="O3" s="22"/>
      <c r="P3" s="23" t="s">
        <v>26</v>
      </c>
    </row>
    <row r="4" ht="22.5" customHeight="1">
      <c r="A4" s="9" t="s">
        <v>17</v>
      </c>
      <c r="B4" s="26" t="s">
        <v>19</v>
      </c>
      <c r="C4" s="31" t="s">
        <v>33</v>
      </c>
      <c r="D4" s="32">
        <v>46223.0</v>
      </c>
      <c r="E4" s="32">
        <v>46407.0</v>
      </c>
      <c r="F4" s="16">
        <f t="shared" si="1"/>
        <v>137</v>
      </c>
      <c r="G4" s="17" t="str">
        <f t="shared" si="2"/>
        <v>VIGENTE</v>
      </c>
      <c r="H4" s="12" t="s">
        <v>36</v>
      </c>
      <c r="I4" s="19">
        <v>30.0</v>
      </c>
      <c r="J4" s="20"/>
      <c r="K4" s="21"/>
      <c r="L4" s="12" t="s">
        <v>32</v>
      </c>
      <c r="M4" s="24">
        <v>4.141479085E9</v>
      </c>
      <c r="N4" s="12"/>
      <c r="O4" s="22"/>
      <c r="P4" s="23" t="s">
        <v>26</v>
      </c>
    </row>
    <row r="5" ht="22.5" customHeight="1">
      <c r="A5" s="9" t="s">
        <v>17</v>
      </c>
      <c r="B5" s="26" t="s">
        <v>19</v>
      </c>
      <c r="C5" s="1" t="s">
        <v>39</v>
      </c>
      <c r="D5" s="28">
        <v>46268.0</v>
      </c>
      <c r="E5" s="28">
        <v>46298.0</v>
      </c>
      <c r="F5" s="16">
        <f t="shared" si="1"/>
        <v>28</v>
      </c>
      <c r="G5" s="17" t="str">
        <f t="shared" si="2"/>
        <v>VIGENTE</v>
      </c>
      <c r="H5" s="12" t="s">
        <v>41</v>
      </c>
      <c r="I5" s="19">
        <v>4.0</v>
      </c>
      <c r="J5" s="20"/>
      <c r="K5" s="21"/>
      <c r="L5" s="12" t="s">
        <v>43</v>
      </c>
      <c r="M5" s="24">
        <v>4.243764828E9</v>
      </c>
      <c r="N5" s="12" t="s">
        <v>44</v>
      </c>
      <c r="O5" s="22"/>
      <c r="P5" s="23" t="s">
        <v>26</v>
      </c>
    </row>
    <row r="6" ht="22.5" customHeight="1">
      <c r="A6" s="1" t="s">
        <v>46</v>
      </c>
      <c r="B6" s="34" t="s">
        <v>47</v>
      </c>
      <c r="C6" s="12" t="s">
        <v>49</v>
      </c>
      <c r="D6" s="13">
        <v>46234.0</v>
      </c>
      <c r="E6" s="28">
        <v>46389.0</v>
      </c>
      <c r="F6" s="16">
        <f t="shared" si="1"/>
        <v>119</v>
      </c>
      <c r="G6" s="17" t="str">
        <f t="shared" si="2"/>
        <v>VIGENTE</v>
      </c>
      <c r="H6" s="12" t="s">
        <v>50</v>
      </c>
      <c r="I6" s="19">
        <v>4.0</v>
      </c>
      <c r="J6" s="20"/>
      <c r="K6" s="21"/>
      <c r="L6" s="12" t="s">
        <v>51</v>
      </c>
      <c r="M6" s="24">
        <v>3.4608139682E10</v>
      </c>
      <c r="N6" s="12"/>
      <c r="O6" s="22"/>
      <c r="P6" s="23" t="s">
        <v>26</v>
      </c>
    </row>
    <row r="7" ht="22.5" customHeight="1">
      <c r="A7" s="35" t="s">
        <v>52</v>
      </c>
      <c r="B7" s="36" t="s">
        <v>54</v>
      </c>
      <c r="C7" s="12" t="s">
        <v>55</v>
      </c>
      <c r="D7" s="13">
        <v>46253.0</v>
      </c>
      <c r="E7" s="13">
        <v>46286.0</v>
      </c>
      <c r="F7" s="16">
        <f t="shared" si="1"/>
        <v>16</v>
      </c>
      <c r="G7" s="17" t="str">
        <f t="shared" si="2"/>
        <v>VIGENTE</v>
      </c>
      <c r="H7" s="12" t="s">
        <v>57</v>
      </c>
      <c r="I7" s="19">
        <v>4.0</v>
      </c>
      <c r="J7" s="40" t="s">
        <v>58</v>
      </c>
      <c r="K7" s="21"/>
      <c r="L7" s="12" t="s">
        <v>59</v>
      </c>
      <c r="M7" s="24">
        <v>4.143216373E9</v>
      </c>
      <c r="N7" s="12"/>
      <c r="O7" s="22"/>
      <c r="P7" s="23" t="s">
        <v>26</v>
      </c>
      <c r="V7" s="37"/>
      <c r="W7" s="38" t="s">
        <v>56</v>
      </c>
      <c r="X7" s="39">
        <v>2.0</v>
      </c>
    </row>
    <row r="8" ht="22.5" customHeight="1">
      <c r="A8" s="35" t="s">
        <v>52</v>
      </c>
      <c r="B8" s="42" t="s">
        <v>54</v>
      </c>
      <c r="C8" s="1" t="s">
        <v>21</v>
      </c>
      <c r="D8" s="13">
        <v>46264.0</v>
      </c>
      <c r="E8" s="13">
        <v>46295.0</v>
      </c>
      <c r="F8" s="16">
        <f t="shared" si="1"/>
        <v>25</v>
      </c>
      <c r="G8" s="17" t="str">
        <f t="shared" si="2"/>
        <v>VIGENTE</v>
      </c>
      <c r="H8" s="12" t="s">
        <v>62</v>
      </c>
      <c r="I8" s="19">
        <v>4.0</v>
      </c>
      <c r="J8" s="20"/>
      <c r="K8" s="21"/>
      <c r="L8" s="12" t="s">
        <v>63</v>
      </c>
      <c r="M8" s="24">
        <v>4.141450047E9</v>
      </c>
      <c r="N8" s="12" t="s">
        <v>42</v>
      </c>
      <c r="O8" s="22"/>
      <c r="P8" s="23" t="s">
        <v>27</v>
      </c>
      <c r="V8" s="44"/>
      <c r="W8" s="45"/>
    </row>
    <row r="9" ht="22.5" customHeight="1">
      <c r="A9" s="35" t="s">
        <v>52</v>
      </c>
      <c r="B9" s="42" t="s">
        <v>54</v>
      </c>
      <c r="C9" s="1" t="s">
        <v>33</v>
      </c>
      <c r="D9" s="13">
        <v>46266.0</v>
      </c>
      <c r="E9" s="13">
        <v>46296.0</v>
      </c>
      <c r="F9" s="16">
        <f t="shared" si="1"/>
        <v>26</v>
      </c>
      <c r="G9" s="17" t="str">
        <f t="shared" si="2"/>
        <v>VIGENTE</v>
      </c>
      <c r="H9" s="12" t="s">
        <v>65</v>
      </c>
      <c r="I9" s="19">
        <v>4.0</v>
      </c>
      <c r="J9" s="20"/>
      <c r="K9" s="21"/>
      <c r="L9" s="12" t="s">
        <v>67</v>
      </c>
      <c r="M9" s="24">
        <v>4.128763428E9</v>
      </c>
      <c r="N9" s="12" t="s">
        <v>42</v>
      </c>
      <c r="O9" s="22"/>
      <c r="P9" s="23" t="s">
        <v>27</v>
      </c>
      <c r="V9" s="46"/>
      <c r="W9" s="47" t="s">
        <v>68</v>
      </c>
    </row>
    <row r="10" ht="22.5" customHeight="1">
      <c r="A10" s="35" t="s">
        <v>52</v>
      </c>
      <c r="B10" s="1" t="s">
        <v>54</v>
      </c>
      <c r="C10" s="1" t="s">
        <v>39</v>
      </c>
      <c r="D10" s="28"/>
      <c r="E10" s="28"/>
      <c r="F10" s="16">
        <f t="shared" si="1"/>
        <v>-46270</v>
      </c>
      <c r="G10" s="17" t="str">
        <f t="shared" si="2"/>
        <v>VENCIDO</v>
      </c>
      <c r="H10" s="12"/>
      <c r="I10" s="19"/>
      <c r="J10" s="20"/>
      <c r="K10" s="21"/>
      <c r="L10" s="12"/>
      <c r="M10" s="24"/>
      <c r="N10" s="12"/>
      <c r="O10" s="22"/>
      <c r="P10" s="23" t="s">
        <v>27</v>
      </c>
      <c r="V10" s="48"/>
      <c r="W10" s="49"/>
    </row>
    <row r="11" ht="22.5" customHeight="1">
      <c r="A11" s="35" t="s">
        <v>52</v>
      </c>
      <c r="B11" s="1" t="s">
        <v>54</v>
      </c>
      <c r="C11" s="1" t="s">
        <v>39</v>
      </c>
      <c r="D11" s="28"/>
      <c r="E11" s="28"/>
      <c r="F11" s="16">
        <f t="shared" si="1"/>
        <v>-46270</v>
      </c>
      <c r="G11" s="17" t="str">
        <f t="shared" si="2"/>
        <v>VENCIDO</v>
      </c>
      <c r="H11" s="12"/>
      <c r="I11" s="19"/>
      <c r="J11" s="20"/>
      <c r="K11" s="21"/>
      <c r="L11" s="12"/>
      <c r="M11" s="24"/>
      <c r="N11" s="12"/>
      <c r="O11" s="22"/>
      <c r="P11" s="23"/>
      <c r="V11" s="50"/>
      <c r="W11" s="51" t="s">
        <v>72</v>
      </c>
    </row>
    <row r="12" ht="22.5" customHeight="1">
      <c r="A12" s="52" t="s">
        <v>73</v>
      </c>
      <c r="B12" s="42" t="s">
        <v>74</v>
      </c>
      <c r="C12" s="1" t="s">
        <v>21</v>
      </c>
      <c r="D12" s="28">
        <v>46256.0</v>
      </c>
      <c r="E12" s="28">
        <v>46287.0</v>
      </c>
      <c r="F12" s="16">
        <f t="shared" si="1"/>
        <v>17</v>
      </c>
      <c r="G12" s="17" t="str">
        <f t="shared" si="2"/>
        <v>VIGENTE</v>
      </c>
      <c r="H12" s="12" t="s">
        <v>75</v>
      </c>
      <c r="I12" s="19">
        <v>4.0</v>
      </c>
      <c r="J12" s="20"/>
      <c r="K12" s="21"/>
      <c r="L12" s="12" t="s">
        <v>76</v>
      </c>
      <c r="M12" s="24">
        <v>4.126435738E9</v>
      </c>
      <c r="N12" s="12"/>
      <c r="O12" s="22"/>
      <c r="P12" s="23" t="s">
        <v>27</v>
      </c>
      <c r="V12" s="53"/>
      <c r="W12" s="54"/>
    </row>
    <row r="13" ht="22.5" customHeight="1">
      <c r="A13" s="52" t="s">
        <v>73</v>
      </c>
      <c r="B13" s="1" t="s">
        <v>74</v>
      </c>
      <c r="C13" s="1" t="s">
        <v>33</v>
      </c>
      <c r="D13" s="55">
        <v>46257.0</v>
      </c>
      <c r="E13" s="55">
        <v>46288.0</v>
      </c>
      <c r="F13" s="16">
        <f t="shared" si="1"/>
        <v>18</v>
      </c>
      <c r="G13" s="17" t="str">
        <f t="shared" si="2"/>
        <v>VIGENTE</v>
      </c>
      <c r="H13" s="12" t="s">
        <v>77</v>
      </c>
      <c r="I13" s="19">
        <v>4.0</v>
      </c>
      <c r="J13" s="20"/>
      <c r="K13" s="21"/>
      <c r="L13" s="12" t="s">
        <v>78</v>
      </c>
      <c r="M13" s="24">
        <v>4.149739643E9</v>
      </c>
      <c r="N13" s="12"/>
      <c r="O13" s="22"/>
      <c r="P13" s="23" t="s">
        <v>27</v>
      </c>
      <c r="V13" s="53"/>
      <c r="W13" s="54"/>
    </row>
    <row r="14" ht="22.5" customHeight="1">
      <c r="A14" s="52" t="s">
        <v>73</v>
      </c>
      <c r="B14" s="1" t="s">
        <v>74</v>
      </c>
      <c r="C14" s="1" t="s">
        <v>55</v>
      </c>
      <c r="D14" s="28">
        <v>46257.0</v>
      </c>
      <c r="E14" s="28">
        <v>46288.0</v>
      </c>
      <c r="F14" s="16">
        <f t="shared" si="1"/>
        <v>18</v>
      </c>
      <c r="G14" s="17" t="str">
        <f t="shared" si="2"/>
        <v>VIGENTE</v>
      </c>
      <c r="H14" s="12" t="s">
        <v>79</v>
      </c>
      <c r="I14" s="19">
        <v>4.0</v>
      </c>
      <c r="J14" s="20"/>
      <c r="K14" s="21"/>
      <c r="L14" s="12" t="s">
        <v>32</v>
      </c>
      <c r="M14" s="24">
        <v>4.242130371E9</v>
      </c>
      <c r="N14" s="12"/>
      <c r="O14" s="22"/>
      <c r="P14" s="23" t="s">
        <v>27</v>
      </c>
      <c r="V14" s="53"/>
      <c r="W14" s="54"/>
    </row>
    <row r="15" ht="22.5" customHeight="1">
      <c r="A15" s="52" t="s">
        <v>73</v>
      </c>
      <c r="B15" s="42" t="s">
        <v>74</v>
      </c>
      <c r="C15" s="1" t="s">
        <v>39</v>
      </c>
      <c r="D15" s="28">
        <v>46257.0</v>
      </c>
      <c r="E15" s="28">
        <v>46288.0</v>
      </c>
      <c r="F15" s="16">
        <f t="shared" si="1"/>
        <v>18</v>
      </c>
      <c r="G15" s="17" t="str">
        <f t="shared" si="2"/>
        <v>VIGENTE</v>
      </c>
      <c r="H15" s="12" t="s">
        <v>82</v>
      </c>
      <c r="I15" s="19">
        <v>4.0</v>
      </c>
      <c r="J15" s="20"/>
      <c r="K15" s="21"/>
      <c r="L15" s="12" t="s">
        <v>43</v>
      </c>
      <c r="M15" s="24">
        <v>4.243764828E9</v>
      </c>
      <c r="N15" s="12" t="s">
        <v>44</v>
      </c>
      <c r="O15" s="22"/>
      <c r="P15" s="23" t="s">
        <v>27</v>
      </c>
      <c r="V15" s="53"/>
      <c r="W15" s="54"/>
    </row>
    <row r="16" ht="22.5" customHeight="1">
      <c r="A16" s="26" t="s">
        <v>84</v>
      </c>
      <c r="B16" s="26" t="s">
        <v>85</v>
      </c>
      <c r="C16" s="12" t="s">
        <v>21</v>
      </c>
      <c r="D16" s="28">
        <v>46268.0</v>
      </c>
      <c r="E16" s="28">
        <v>46300.0</v>
      </c>
      <c r="F16" s="16">
        <f t="shared" si="1"/>
        <v>30</v>
      </c>
      <c r="G16" s="17" t="str">
        <f t="shared" si="2"/>
        <v>VIGENTE</v>
      </c>
      <c r="H16" s="12" t="s">
        <v>88</v>
      </c>
      <c r="I16" s="19">
        <v>4.0</v>
      </c>
      <c r="J16" s="20"/>
      <c r="K16" s="21"/>
      <c r="L16" s="12" t="s">
        <v>32</v>
      </c>
      <c r="M16" s="24">
        <v>4.129525028E9</v>
      </c>
      <c r="N16" s="12" t="s">
        <v>44</v>
      </c>
      <c r="O16" s="22"/>
      <c r="P16" s="23" t="s">
        <v>89</v>
      </c>
      <c r="V16" s="46"/>
      <c r="W16" s="56" t="s">
        <v>90</v>
      </c>
    </row>
    <row r="17" ht="22.5" customHeight="1">
      <c r="A17" s="26" t="s">
        <v>84</v>
      </c>
      <c r="B17" s="26" t="s">
        <v>85</v>
      </c>
      <c r="C17" s="12" t="s">
        <v>39</v>
      </c>
      <c r="D17" s="13">
        <v>46269.0</v>
      </c>
      <c r="E17" s="13">
        <v>46300.0</v>
      </c>
      <c r="F17" s="16">
        <f t="shared" si="1"/>
        <v>30</v>
      </c>
      <c r="G17" s="17" t="str">
        <f t="shared" si="2"/>
        <v>VIGENTE</v>
      </c>
      <c r="H17" s="12" t="s">
        <v>94</v>
      </c>
      <c r="I17" s="19">
        <v>4.0</v>
      </c>
      <c r="J17" s="40" t="s">
        <v>95</v>
      </c>
      <c r="K17" s="21"/>
      <c r="L17" s="12" t="s">
        <v>59</v>
      </c>
      <c r="M17" s="24">
        <v>4.126119193E9</v>
      </c>
      <c r="N17" s="12" t="s">
        <v>44</v>
      </c>
      <c r="O17" s="22"/>
      <c r="P17" s="23" t="s">
        <v>89</v>
      </c>
    </row>
    <row r="18" ht="22.5" customHeight="1">
      <c r="A18" s="26" t="s">
        <v>84</v>
      </c>
      <c r="B18" s="57" t="s">
        <v>85</v>
      </c>
      <c r="C18" s="12" t="s">
        <v>33</v>
      </c>
      <c r="D18" s="28">
        <v>46241.0</v>
      </c>
      <c r="E18" s="28">
        <v>46272.0</v>
      </c>
      <c r="F18" s="16">
        <f t="shared" si="1"/>
        <v>2</v>
      </c>
      <c r="G18" s="17" t="str">
        <f t="shared" si="2"/>
        <v>POR VENCER</v>
      </c>
      <c r="H18" s="12" t="s">
        <v>99</v>
      </c>
      <c r="I18" s="19">
        <v>4.0</v>
      </c>
      <c r="J18" s="20"/>
      <c r="K18" s="21"/>
      <c r="L18" s="12" t="s">
        <v>59</v>
      </c>
      <c r="M18" s="24">
        <v>4.142770986E9</v>
      </c>
      <c r="N18" s="12"/>
      <c r="O18" s="22"/>
      <c r="P18" s="23"/>
    </row>
    <row r="19" ht="22.5" customHeight="1">
      <c r="A19" s="26" t="s">
        <v>84</v>
      </c>
      <c r="B19" s="1" t="s">
        <v>85</v>
      </c>
      <c r="C19" s="12" t="s">
        <v>55</v>
      </c>
      <c r="D19" s="13">
        <v>46250.0</v>
      </c>
      <c r="E19" s="13">
        <v>46281.0</v>
      </c>
      <c r="F19" s="16">
        <f t="shared" si="1"/>
        <v>11</v>
      </c>
      <c r="G19" s="17" t="str">
        <f t="shared" si="2"/>
        <v>VIGENTE</v>
      </c>
      <c r="H19" s="12" t="s">
        <v>103</v>
      </c>
      <c r="I19" s="19">
        <v>5.0</v>
      </c>
      <c r="J19" s="20"/>
      <c r="K19" s="21"/>
      <c r="L19" s="12" t="s">
        <v>104</v>
      </c>
      <c r="M19" s="24">
        <v>4.241960979E9</v>
      </c>
      <c r="N19" s="12"/>
      <c r="O19" s="22"/>
      <c r="P19" s="23"/>
    </row>
    <row r="20" ht="22.5" customHeight="1">
      <c r="A20" s="58" t="s">
        <v>107</v>
      </c>
      <c r="B20" s="59" t="s">
        <v>110</v>
      </c>
      <c r="C20" s="12" t="s">
        <v>111</v>
      </c>
      <c r="D20" s="13">
        <v>46239.0</v>
      </c>
      <c r="E20" s="13">
        <v>46271.0</v>
      </c>
      <c r="F20" s="16">
        <f t="shared" si="1"/>
        <v>1</v>
      </c>
      <c r="G20" s="17" t="str">
        <f t="shared" si="2"/>
        <v>POR VENCER</v>
      </c>
      <c r="H20" s="12" t="s">
        <v>113</v>
      </c>
      <c r="I20" s="19">
        <v>4.0</v>
      </c>
      <c r="J20" s="20"/>
      <c r="K20" s="21"/>
      <c r="L20" s="12" t="s">
        <v>25</v>
      </c>
      <c r="M20" s="24">
        <v>4.142403007E9</v>
      </c>
      <c r="N20" s="12"/>
      <c r="O20" s="22"/>
      <c r="P20" s="23" t="s">
        <v>27</v>
      </c>
    </row>
    <row r="21" ht="22.5" customHeight="1">
      <c r="A21" s="58" t="s">
        <v>107</v>
      </c>
      <c r="B21" s="26" t="s">
        <v>110</v>
      </c>
      <c r="C21" s="1" t="s">
        <v>21</v>
      </c>
      <c r="D21" s="28">
        <v>46243.0</v>
      </c>
      <c r="E21" s="28">
        <v>46274.0</v>
      </c>
      <c r="F21" s="16">
        <f t="shared" si="1"/>
        <v>4</v>
      </c>
      <c r="G21" s="17" t="str">
        <f t="shared" si="2"/>
        <v>VIGENTE</v>
      </c>
      <c r="H21" s="12" t="s">
        <v>117</v>
      </c>
      <c r="I21" s="19">
        <v>4.0</v>
      </c>
      <c r="J21" s="20"/>
      <c r="K21" s="21"/>
      <c r="L21" s="12" t="s">
        <v>32</v>
      </c>
      <c r="M21" s="24">
        <v>4.129966381E9</v>
      </c>
      <c r="N21" s="12"/>
      <c r="O21" s="22"/>
      <c r="P21" s="23" t="s">
        <v>27</v>
      </c>
    </row>
    <row r="22" ht="22.5" customHeight="1">
      <c r="A22" s="58" t="s">
        <v>107</v>
      </c>
      <c r="B22" s="26" t="s">
        <v>110</v>
      </c>
      <c r="C22" s="12" t="s">
        <v>39</v>
      </c>
      <c r="D22" s="13">
        <v>46250.0</v>
      </c>
      <c r="E22" s="13">
        <v>46285.0</v>
      </c>
      <c r="F22" s="16">
        <f t="shared" si="1"/>
        <v>15</v>
      </c>
      <c r="G22" s="17" t="str">
        <f t="shared" si="2"/>
        <v>VIGENTE</v>
      </c>
      <c r="H22" s="12" t="s">
        <v>121</v>
      </c>
      <c r="I22" s="19">
        <v>4.0</v>
      </c>
      <c r="J22" s="40" t="s">
        <v>58</v>
      </c>
      <c r="K22" s="21"/>
      <c r="L22" s="12" t="s">
        <v>32</v>
      </c>
      <c r="M22" s="24">
        <v>4.242194487E9</v>
      </c>
      <c r="N22" s="12" t="s">
        <v>122</v>
      </c>
      <c r="O22" s="22"/>
      <c r="P22" s="23" t="s">
        <v>27</v>
      </c>
    </row>
    <row r="23" ht="22.5" customHeight="1">
      <c r="A23" s="58" t="s">
        <v>107</v>
      </c>
      <c r="B23" s="36" t="s">
        <v>110</v>
      </c>
      <c r="C23" s="12" t="s">
        <v>33</v>
      </c>
      <c r="D23" s="13">
        <v>46257.0</v>
      </c>
      <c r="E23" s="13">
        <v>46290.0</v>
      </c>
      <c r="F23" s="16">
        <f t="shared" si="1"/>
        <v>20</v>
      </c>
      <c r="G23" s="17" t="str">
        <f t="shared" si="2"/>
        <v>VIGENTE</v>
      </c>
      <c r="H23" s="12" t="s">
        <v>125</v>
      </c>
      <c r="I23" s="19">
        <v>5.0</v>
      </c>
      <c r="J23" s="20"/>
      <c r="K23" s="21"/>
      <c r="L23" s="12" t="s">
        <v>43</v>
      </c>
      <c r="M23" s="24">
        <v>4.128883477E9</v>
      </c>
      <c r="N23" s="12"/>
      <c r="O23" s="22"/>
      <c r="P23" s="23" t="s">
        <v>27</v>
      </c>
    </row>
    <row r="24" ht="22.5" customHeight="1">
      <c r="A24" s="58" t="s">
        <v>107</v>
      </c>
      <c r="B24" s="26" t="s">
        <v>110</v>
      </c>
      <c r="C24" s="1" t="s">
        <v>55</v>
      </c>
      <c r="D24" s="28">
        <v>46263.0</v>
      </c>
      <c r="E24" s="28">
        <v>46294.0</v>
      </c>
      <c r="F24" s="16">
        <f t="shared" si="1"/>
        <v>24</v>
      </c>
      <c r="G24" s="17" t="str">
        <f t="shared" si="2"/>
        <v>VIGENTE</v>
      </c>
      <c r="H24" s="12" t="s">
        <v>128</v>
      </c>
      <c r="I24" s="19">
        <v>4.0</v>
      </c>
      <c r="J24" s="20"/>
      <c r="K24" s="21"/>
      <c r="L24" s="12" t="s">
        <v>129</v>
      </c>
      <c r="M24" s="24">
        <v>4.122088284E9</v>
      </c>
      <c r="N24" s="12" t="s">
        <v>42</v>
      </c>
      <c r="O24" s="22"/>
      <c r="P24" s="23" t="s">
        <v>27</v>
      </c>
    </row>
    <row r="25" ht="22.5" customHeight="1">
      <c r="A25" s="1" t="s">
        <v>132</v>
      </c>
      <c r="B25" s="1" t="s">
        <v>133</v>
      </c>
      <c r="C25" s="12" t="s">
        <v>111</v>
      </c>
      <c r="D25" s="28">
        <v>46244.0</v>
      </c>
      <c r="E25" s="28">
        <v>46275.0</v>
      </c>
      <c r="F25" s="16">
        <f t="shared" si="1"/>
        <v>5</v>
      </c>
      <c r="G25" s="17" t="str">
        <f t="shared" si="2"/>
        <v>VIGENTE</v>
      </c>
      <c r="H25" s="12" t="s">
        <v>134</v>
      </c>
      <c r="I25" s="19">
        <v>4.0</v>
      </c>
      <c r="J25" s="20"/>
      <c r="K25" s="21"/>
      <c r="L25" s="12"/>
      <c r="M25" s="24">
        <v>4.241704E9</v>
      </c>
      <c r="N25" s="12"/>
      <c r="O25" s="22"/>
      <c r="P25" s="23"/>
    </row>
    <row r="26" ht="22.5" customHeight="1">
      <c r="A26" s="1" t="s">
        <v>132</v>
      </c>
      <c r="B26" s="1" t="s">
        <v>133</v>
      </c>
      <c r="C26" s="12" t="s">
        <v>55</v>
      </c>
      <c r="D26" s="13">
        <v>46246.0</v>
      </c>
      <c r="E26" s="13">
        <v>46276.0</v>
      </c>
      <c r="F26" s="16">
        <f t="shared" si="1"/>
        <v>6</v>
      </c>
      <c r="G26" s="17" t="str">
        <f t="shared" si="2"/>
        <v>VIGENTE</v>
      </c>
      <c r="H26" s="12" t="s">
        <v>136</v>
      </c>
      <c r="I26" s="19">
        <v>4.0</v>
      </c>
      <c r="J26" s="40" t="s">
        <v>58</v>
      </c>
      <c r="K26" s="21"/>
      <c r="L26" s="12" t="s">
        <v>116</v>
      </c>
      <c r="M26" s="62">
        <v>4.123273149E9</v>
      </c>
      <c r="N26" s="12"/>
      <c r="O26" s="22"/>
      <c r="P26" s="23" t="s">
        <v>27</v>
      </c>
    </row>
    <row r="27" ht="22.5" customHeight="1">
      <c r="A27" s="1" t="s">
        <v>132</v>
      </c>
      <c r="B27" s="1" t="s">
        <v>138</v>
      </c>
      <c r="C27" s="1" t="s">
        <v>39</v>
      </c>
      <c r="D27" s="28">
        <v>46252.0</v>
      </c>
      <c r="E27" s="28">
        <v>46285.0</v>
      </c>
      <c r="F27" s="16">
        <f t="shared" si="1"/>
        <v>15</v>
      </c>
      <c r="G27" s="17" t="str">
        <f t="shared" si="2"/>
        <v>VIGENTE</v>
      </c>
      <c r="H27" s="12" t="s">
        <v>140</v>
      </c>
      <c r="I27" s="19">
        <v>4.0</v>
      </c>
      <c r="J27" s="20"/>
      <c r="K27" s="21"/>
      <c r="L27" s="12" t="s">
        <v>141</v>
      </c>
      <c r="M27" s="5">
        <v>4.220155802E9</v>
      </c>
      <c r="N27" s="12"/>
      <c r="O27" s="22"/>
      <c r="P27" s="23" t="s">
        <v>27</v>
      </c>
    </row>
    <row r="28" ht="22.5" customHeight="1">
      <c r="A28" s="1" t="s">
        <v>132</v>
      </c>
      <c r="B28" s="1" t="s">
        <v>133</v>
      </c>
      <c r="C28" s="1" t="s">
        <v>21</v>
      </c>
      <c r="D28" s="28">
        <v>46258.0</v>
      </c>
      <c r="E28" s="28">
        <v>46289.0</v>
      </c>
      <c r="F28" s="16">
        <f t="shared" si="1"/>
        <v>19</v>
      </c>
      <c r="G28" s="17" t="str">
        <f t="shared" si="2"/>
        <v>VIGENTE</v>
      </c>
      <c r="H28" s="12" t="s">
        <v>144</v>
      </c>
      <c r="I28" s="19">
        <v>4.0</v>
      </c>
      <c r="J28" s="20"/>
      <c r="K28" s="21"/>
      <c r="L28" s="12" t="s">
        <v>145</v>
      </c>
      <c r="M28" s="24">
        <v>4.143130335E9</v>
      </c>
      <c r="N28" s="12"/>
      <c r="O28" s="22"/>
      <c r="P28" s="23" t="s">
        <v>27</v>
      </c>
    </row>
    <row r="29" ht="22.5" customHeight="1">
      <c r="A29" s="1" t="s">
        <v>132</v>
      </c>
      <c r="B29" s="1" t="s">
        <v>133</v>
      </c>
      <c r="C29" s="1" t="s">
        <v>33</v>
      </c>
      <c r="D29" s="28">
        <v>46258.0</v>
      </c>
      <c r="E29" s="28">
        <v>46289.0</v>
      </c>
      <c r="F29" s="16">
        <f t="shared" si="1"/>
        <v>19</v>
      </c>
      <c r="G29" s="17" t="str">
        <f t="shared" si="2"/>
        <v>VIGENTE</v>
      </c>
      <c r="H29" s="12" t="s">
        <v>148</v>
      </c>
      <c r="I29" s="19">
        <v>4.0</v>
      </c>
      <c r="J29" s="20"/>
      <c r="K29" s="21"/>
      <c r="L29" s="12" t="s">
        <v>149</v>
      </c>
      <c r="M29" s="24">
        <v>4.142946123E9</v>
      </c>
      <c r="N29" s="12"/>
      <c r="O29" s="22"/>
      <c r="P29" s="23" t="s">
        <v>27</v>
      </c>
    </row>
    <row r="30" ht="22.5" customHeight="1">
      <c r="A30" s="9" t="s">
        <v>152</v>
      </c>
      <c r="B30" s="64" t="s">
        <v>153</v>
      </c>
      <c r="C30" s="1" t="s">
        <v>21</v>
      </c>
      <c r="D30" s="28">
        <v>46261.0</v>
      </c>
      <c r="E30" s="28">
        <v>46292.0</v>
      </c>
      <c r="F30" s="16">
        <f t="shared" si="1"/>
        <v>22</v>
      </c>
      <c r="G30" s="17" t="str">
        <f t="shared" si="2"/>
        <v>VIGENTE</v>
      </c>
      <c r="H30" s="12" t="s">
        <v>155</v>
      </c>
      <c r="I30" s="19">
        <v>4.0</v>
      </c>
      <c r="J30" s="20"/>
      <c r="K30" s="21"/>
      <c r="L30" s="12" t="s">
        <v>156</v>
      </c>
      <c r="M30" s="24">
        <v>4.248891484E9</v>
      </c>
      <c r="N30" s="12" t="s">
        <v>42</v>
      </c>
      <c r="O30" s="22"/>
      <c r="P30" s="23" t="s">
        <v>27</v>
      </c>
    </row>
    <row r="31" ht="22.5" customHeight="1">
      <c r="A31" s="9" t="s">
        <v>152</v>
      </c>
      <c r="B31" s="65" t="s">
        <v>153</v>
      </c>
      <c r="C31" s="1" t="s">
        <v>39</v>
      </c>
      <c r="D31" s="28">
        <v>46263.0</v>
      </c>
      <c r="E31" s="28">
        <v>46294.0</v>
      </c>
      <c r="F31" s="16">
        <f t="shared" si="1"/>
        <v>24</v>
      </c>
      <c r="G31" s="17" t="str">
        <f t="shared" si="2"/>
        <v>VIGENTE</v>
      </c>
      <c r="H31" s="12" t="s">
        <v>159</v>
      </c>
      <c r="I31" s="19">
        <v>4.0</v>
      </c>
      <c r="J31" s="20"/>
      <c r="K31" s="21"/>
      <c r="L31" s="12" t="s">
        <v>160</v>
      </c>
      <c r="M31" s="24">
        <v>4.14503584E9</v>
      </c>
      <c r="N31" s="12" t="s">
        <v>44</v>
      </c>
      <c r="O31" s="22"/>
      <c r="P31" s="23" t="s">
        <v>27</v>
      </c>
    </row>
    <row r="32" ht="22.5" customHeight="1">
      <c r="A32" s="9" t="s">
        <v>152</v>
      </c>
      <c r="B32" s="64" t="s">
        <v>153</v>
      </c>
      <c r="C32" s="1" t="s">
        <v>55</v>
      </c>
      <c r="D32" s="28">
        <v>46263.0</v>
      </c>
      <c r="E32" s="28">
        <v>46294.0</v>
      </c>
      <c r="F32" s="16">
        <f t="shared" si="1"/>
        <v>24</v>
      </c>
      <c r="G32" s="17" t="str">
        <f t="shared" si="2"/>
        <v>VIGENTE</v>
      </c>
      <c r="H32" s="12" t="s">
        <v>163</v>
      </c>
      <c r="I32" s="19">
        <v>4.0</v>
      </c>
      <c r="J32" s="20"/>
      <c r="K32" s="21"/>
      <c r="L32" s="12" t="s">
        <v>164</v>
      </c>
      <c r="M32" s="24">
        <v>4.121401664E9</v>
      </c>
      <c r="N32" s="12" t="s">
        <v>44</v>
      </c>
      <c r="O32" s="22"/>
      <c r="P32" s="23" t="s">
        <v>27</v>
      </c>
    </row>
    <row r="33" ht="22.5" customHeight="1">
      <c r="A33" s="9" t="s">
        <v>152</v>
      </c>
      <c r="B33" s="65" t="s">
        <v>153</v>
      </c>
      <c r="C33" s="1" t="s">
        <v>33</v>
      </c>
      <c r="D33" s="28">
        <v>46264.0</v>
      </c>
      <c r="E33" s="28">
        <v>46295.0</v>
      </c>
      <c r="F33" s="16">
        <f t="shared" si="1"/>
        <v>25</v>
      </c>
      <c r="G33" s="17" t="str">
        <f t="shared" si="2"/>
        <v>VIGENTE</v>
      </c>
      <c r="H33" s="12" t="s">
        <v>166</v>
      </c>
      <c r="I33" s="19">
        <v>4.0</v>
      </c>
      <c r="J33" s="20"/>
      <c r="K33" s="21"/>
      <c r="L33" s="12" t="s">
        <v>32</v>
      </c>
      <c r="M33" s="24">
        <v>4.126012222E9</v>
      </c>
      <c r="N33" s="12" t="s">
        <v>44</v>
      </c>
      <c r="O33" s="22"/>
      <c r="P33" s="23" t="s">
        <v>27</v>
      </c>
    </row>
    <row r="34" ht="22.5" customHeight="1">
      <c r="A34" s="1" t="s">
        <v>168</v>
      </c>
      <c r="B34" s="1" t="s">
        <v>169</v>
      </c>
      <c r="C34" s="12" t="s">
        <v>21</v>
      </c>
      <c r="D34" s="13">
        <v>46246.0</v>
      </c>
      <c r="E34" s="13">
        <v>46277.0</v>
      </c>
      <c r="F34" s="16">
        <f t="shared" si="1"/>
        <v>7</v>
      </c>
      <c r="G34" s="17" t="str">
        <f t="shared" si="2"/>
        <v>VIGENTE</v>
      </c>
      <c r="H34" s="12" t="s">
        <v>171</v>
      </c>
      <c r="I34" s="19">
        <v>4.0</v>
      </c>
      <c r="J34" s="20"/>
      <c r="K34" s="21"/>
      <c r="L34" s="12" t="s">
        <v>59</v>
      </c>
      <c r="M34" s="24">
        <v>4.128251947E9</v>
      </c>
      <c r="N34" s="12" t="s">
        <v>53</v>
      </c>
      <c r="O34" s="22"/>
      <c r="P34" s="23" t="s">
        <v>27</v>
      </c>
    </row>
    <row r="35" ht="22.5" customHeight="1">
      <c r="A35" s="1" t="s">
        <v>168</v>
      </c>
      <c r="B35" s="1" t="s">
        <v>169</v>
      </c>
      <c r="C35" s="12" t="s">
        <v>33</v>
      </c>
      <c r="D35" s="13">
        <v>46253.0</v>
      </c>
      <c r="E35" s="13">
        <v>46284.0</v>
      </c>
      <c r="F35" s="16">
        <f t="shared" si="1"/>
        <v>14</v>
      </c>
      <c r="G35" s="17" t="str">
        <f t="shared" si="2"/>
        <v>VIGENTE</v>
      </c>
      <c r="H35" s="12" t="s">
        <v>174</v>
      </c>
      <c r="I35" s="19">
        <v>4.0</v>
      </c>
      <c r="J35" s="20"/>
      <c r="K35" s="21"/>
      <c r="L35" s="12" t="s">
        <v>175</v>
      </c>
      <c r="M35" s="24">
        <v>4.245448919E9</v>
      </c>
      <c r="N35" s="12"/>
      <c r="O35" s="22"/>
      <c r="P35" s="23" t="s">
        <v>27</v>
      </c>
    </row>
    <row r="36" ht="22.5" customHeight="1">
      <c r="A36" s="1" t="s">
        <v>168</v>
      </c>
      <c r="B36" s="1" t="s">
        <v>169</v>
      </c>
      <c r="C36" s="12" t="s">
        <v>39</v>
      </c>
      <c r="D36" s="13">
        <v>46254.0</v>
      </c>
      <c r="E36" s="13">
        <v>46285.0</v>
      </c>
      <c r="F36" s="16">
        <f t="shared" si="1"/>
        <v>15</v>
      </c>
      <c r="G36" s="17" t="str">
        <f t="shared" si="2"/>
        <v>VIGENTE</v>
      </c>
      <c r="H36" s="12" t="s">
        <v>178</v>
      </c>
      <c r="I36" s="19">
        <v>4.0</v>
      </c>
      <c r="J36" s="20"/>
      <c r="K36" s="21"/>
      <c r="L36" s="12" t="s">
        <v>32</v>
      </c>
      <c r="M36" s="24">
        <v>4.149011217E9</v>
      </c>
      <c r="N36" s="12"/>
      <c r="O36" s="22"/>
      <c r="P36" s="23" t="s">
        <v>27</v>
      </c>
    </row>
    <row r="37" ht="22.5" customHeight="1">
      <c r="A37" s="1" t="s">
        <v>168</v>
      </c>
      <c r="B37" s="1" t="s">
        <v>169</v>
      </c>
      <c r="C37" s="31" t="s">
        <v>55</v>
      </c>
      <c r="D37" s="32">
        <v>46256.0</v>
      </c>
      <c r="E37" s="32">
        <v>46289.0</v>
      </c>
      <c r="F37" s="16">
        <f t="shared" si="1"/>
        <v>19</v>
      </c>
      <c r="G37" s="17" t="str">
        <f t="shared" si="2"/>
        <v>VIGENTE</v>
      </c>
      <c r="H37" s="12" t="s">
        <v>182</v>
      </c>
      <c r="I37" s="19">
        <v>4.0</v>
      </c>
      <c r="J37" s="20"/>
      <c r="K37" s="21"/>
      <c r="L37" s="12" t="s">
        <v>184</v>
      </c>
      <c r="M37" s="24">
        <v>4.244629523E9</v>
      </c>
      <c r="N37" s="12"/>
      <c r="O37" s="22"/>
      <c r="P37" s="23" t="s">
        <v>27</v>
      </c>
    </row>
    <row r="38" ht="24.0" customHeight="1">
      <c r="A38" s="31" t="s">
        <v>186</v>
      </c>
      <c r="B38" s="67" t="s">
        <v>187</v>
      </c>
      <c r="C38" s="31" t="s">
        <v>55</v>
      </c>
      <c r="D38" s="32">
        <v>46253.0</v>
      </c>
      <c r="E38" s="32">
        <v>46285.0</v>
      </c>
      <c r="F38" s="16">
        <f t="shared" si="1"/>
        <v>15</v>
      </c>
      <c r="G38" s="17" t="str">
        <f t="shared" si="2"/>
        <v>VIGENTE</v>
      </c>
      <c r="H38" s="12" t="s">
        <v>189</v>
      </c>
      <c r="I38" s="19">
        <v>4.0</v>
      </c>
      <c r="J38" s="20"/>
      <c r="K38" s="21"/>
      <c r="L38" s="12" t="s">
        <v>164</v>
      </c>
      <c r="M38" s="24">
        <v>4.144288878E9</v>
      </c>
      <c r="N38" s="12"/>
      <c r="O38" s="22"/>
      <c r="P38" s="43"/>
    </row>
    <row r="39" ht="22.5" customHeight="1">
      <c r="A39" s="31" t="s">
        <v>186</v>
      </c>
      <c r="B39" s="67" t="s">
        <v>187</v>
      </c>
      <c r="C39" s="31" t="s">
        <v>39</v>
      </c>
      <c r="D39" s="32">
        <v>46252.0</v>
      </c>
      <c r="E39" s="32">
        <v>46285.0</v>
      </c>
      <c r="F39" s="16">
        <f t="shared" si="1"/>
        <v>15</v>
      </c>
      <c r="G39" s="17" t="str">
        <f t="shared" si="2"/>
        <v>VIGENTE</v>
      </c>
      <c r="H39" s="12" t="s">
        <v>193</v>
      </c>
      <c r="I39" s="19">
        <v>4.0</v>
      </c>
      <c r="J39" s="20"/>
      <c r="K39" s="21"/>
      <c r="L39" s="12" t="s">
        <v>195</v>
      </c>
      <c r="M39" s="24">
        <v>4.123632003E9</v>
      </c>
      <c r="N39" s="12"/>
      <c r="O39" s="22"/>
      <c r="P39" s="43"/>
    </row>
    <row r="40" ht="22.5" customHeight="1">
      <c r="A40" s="31" t="s">
        <v>186</v>
      </c>
      <c r="B40" s="26" t="s">
        <v>187</v>
      </c>
      <c r="C40" s="1" t="s">
        <v>21</v>
      </c>
      <c r="D40" s="68">
        <v>46256.0</v>
      </c>
      <c r="E40" s="28">
        <v>46287.0</v>
      </c>
      <c r="F40" s="16">
        <f t="shared" si="1"/>
        <v>17</v>
      </c>
      <c r="G40" s="17" t="str">
        <f t="shared" si="2"/>
        <v>VIGENTE</v>
      </c>
      <c r="H40" s="12" t="s">
        <v>198</v>
      </c>
      <c r="I40" s="19">
        <v>4.0</v>
      </c>
      <c r="J40" s="20"/>
      <c r="K40" s="21"/>
      <c r="L40" s="12" t="s">
        <v>59</v>
      </c>
      <c r="M40" s="24">
        <v>4.241517209E9</v>
      </c>
      <c r="N40" s="12"/>
      <c r="O40" s="22"/>
      <c r="P40" s="43"/>
    </row>
    <row r="41" ht="22.5" customHeight="1">
      <c r="A41" s="31" t="s">
        <v>186</v>
      </c>
      <c r="B41" s="26" t="s">
        <v>187</v>
      </c>
      <c r="C41" s="1" t="s">
        <v>33</v>
      </c>
      <c r="D41" s="70">
        <v>46254.0</v>
      </c>
      <c r="E41" s="55">
        <v>46315.0</v>
      </c>
      <c r="F41" s="16">
        <f t="shared" si="1"/>
        <v>45</v>
      </c>
      <c r="G41" s="17" t="str">
        <f t="shared" si="2"/>
        <v>VIGENTE</v>
      </c>
      <c r="H41" s="12" t="s">
        <v>201</v>
      </c>
      <c r="I41" s="19">
        <v>4.0</v>
      </c>
      <c r="J41" s="20"/>
      <c r="K41" s="21"/>
      <c r="L41" s="12" t="s">
        <v>129</v>
      </c>
      <c r="M41" s="24">
        <v>4.241489604E9</v>
      </c>
      <c r="N41" s="12"/>
      <c r="O41" s="22"/>
      <c r="P41" s="43"/>
    </row>
    <row r="42" ht="22.5" customHeight="1">
      <c r="A42" s="1" t="s">
        <v>204</v>
      </c>
      <c r="B42" s="26" t="s">
        <v>205</v>
      </c>
      <c r="C42" s="1" t="s">
        <v>55</v>
      </c>
      <c r="D42" s="68">
        <v>46237.0</v>
      </c>
      <c r="E42" s="28">
        <v>46268.0</v>
      </c>
      <c r="F42" s="16">
        <f t="shared" si="1"/>
        <v>-2</v>
      </c>
      <c r="G42" s="17" t="str">
        <f t="shared" si="2"/>
        <v>VENCIDO</v>
      </c>
      <c r="H42" s="12" t="s">
        <v>206</v>
      </c>
      <c r="I42" s="19">
        <v>4.0</v>
      </c>
      <c r="J42" s="20"/>
      <c r="K42" s="21"/>
      <c r="L42" s="12" t="s">
        <v>175</v>
      </c>
      <c r="M42" s="24">
        <v>4.245977357E9</v>
      </c>
      <c r="N42" s="30"/>
      <c r="O42" s="22" t="str">
        <f t="array" ref="O42:O168">IF(A42:A168="", "", IF(M42:M168&lt;&gt;"", "OCUPADO", "DISPONIBLE"))</f>
        <v>OCUPADO</v>
      </c>
      <c r="P42" s="43"/>
    </row>
    <row r="43" ht="22.5" customHeight="1">
      <c r="A43" s="1" t="s">
        <v>204</v>
      </c>
      <c r="B43" s="67" t="s">
        <v>205</v>
      </c>
      <c r="C43" s="31" t="s">
        <v>21</v>
      </c>
      <c r="D43" s="71">
        <v>46248.0</v>
      </c>
      <c r="E43" s="32">
        <v>46279.0</v>
      </c>
      <c r="F43" s="16">
        <f t="shared" si="1"/>
        <v>9</v>
      </c>
      <c r="G43" s="17" t="str">
        <f t="shared" si="2"/>
        <v>VIGENTE</v>
      </c>
      <c r="H43" s="12" t="s">
        <v>218</v>
      </c>
      <c r="I43" s="19">
        <v>4.0</v>
      </c>
      <c r="J43" s="20"/>
      <c r="K43" s="21"/>
      <c r="L43" s="12" t="s">
        <v>24</v>
      </c>
      <c r="M43" s="24">
        <v>4.245319938E9</v>
      </c>
      <c r="N43" s="12"/>
      <c r="O43" s="22" t="s">
        <v>185</v>
      </c>
      <c r="P43" s="43"/>
    </row>
    <row r="44" ht="22.5" customHeight="1">
      <c r="A44" s="1" t="s">
        <v>204</v>
      </c>
      <c r="B44" s="26" t="s">
        <v>205</v>
      </c>
      <c r="C44" s="31" t="s">
        <v>33</v>
      </c>
      <c r="D44" s="71">
        <v>46252.0</v>
      </c>
      <c r="E44" s="32">
        <v>46285.0</v>
      </c>
      <c r="F44" s="16">
        <f t="shared" si="1"/>
        <v>15</v>
      </c>
      <c r="G44" s="17" t="str">
        <f t="shared" si="2"/>
        <v>VIGENTE</v>
      </c>
      <c r="H44" s="12" t="s">
        <v>221</v>
      </c>
      <c r="I44" s="19">
        <v>4.0</v>
      </c>
      <c r="J44" s="20"/>
      <c r="K44" s="21"/>
      <c r="L44" s="12" t="s">
        <v>223</v>
      </c>
      <c r="M44" s="24">
        <v>4.149724916E9</v>
      </c>
      <c r="N44" s="12"/>
      <c r="O44" s="22" t="s">
        <v>185</v>
      </c>
      <c r="P44" s="43"/>
    </row>
    <row r="45" ht="22.5" customHeight="1">
      <c r="A45" s="1" t="s">
        <v>204</v>
      </c>
      <c r="B45" s="26" t="s">
        <v>205</v>
      </c>
      <c r="C45" s="1" t="s">
        <v>39</v>
      </c>
      <c r="D45" s="70">
        <v>46261.0</v>
      </c>
      <c r="E45" s="55">
        <v>46290.0</v>
      </c>
      <c r="F45" s="16">
        <f t="shared" si="1"/>
        <v>20</v>
      </c>
      <c r="G45" s="17" t="str">
        <f t="shared" si="2"/>
        <v>VIGENTE</v>
      </c>
      <c r="H45" s="12" t="s">
        <v>226</v>
      </c>
      <c r="I45" s="19">
        <v>4.0</v>
      </c>
      <c r="J45" s="20"/>
      <c r="K45" s="21"/>
      <c r="L45" s="12" t="s">
        <v>227</v>
      </c>
      <c r="M45" s="24">
        <v>4.221006161E9</v>
      </c>
      <c r="N45" s="12"/>
      <c r="O45" s="22" t="s">
        <v>185</v>
      </c>
      <c r="P45" s="23"/>
    </row>
    <row r="46" ht="22.5" customHeight="1">
      <c r="A46" s="72" t="s">
        <v>229</v>
      </c>
      <c r="B46" s="73" t="s">
        <v>230</v>
      </c>
      <c r="C46" s="73" t="s">
        <v>111</v>
      </c>
      <c r="D46" s="70">
        <v>46243.0</v>
      </c>
      <c r="E46" s="55">
        <v>46274.0</v>
      </c>
      <c r="F46" s="16">
        <f t="shared" si="1"/>
        <v>4</v>
      </c>
      <c r="G46" s="17" t="str">
        <f t="shared" si="2"/>
        <v>VIGENTE</v>
      </c>
      <c r="H46" s="12" t="s">
        <v>232</v>
      </c>
      <c r="I46" s="19">
        <v>4.0</v>
      </c>
      <c r="J46" s="20"/>
      <c r="K46" s="21"/>
      <c r="L46" s="12" t="s">
        <v>32</v>
      </c>
      <c r="M46" s="24">
        <v>4.127094001E9</v>
      </c>
      <c r="N46" s="12"/>
      <c r="O46" s="22" t="s">
        <v>185</v>
      </c>
      <c r="P46" s="43"/>
    </row>
    <row r="47" ht="22.5" customHeight="1">
      <c r="A47" s="72" t="s">
        <v>229</v>
      </c>
      <c r="B47" s="26" t="s">
        <v>230</v>
      </c>
      <c r="C47" s="12" t="s">
        <v>55</v>
      </c>
      <c r="D47" s="74">
        <v>46245.0</v>
      </c>
      <c r="E47" s="13">
        <v>46276.0</v>
      </c>
      <c r="F47" s="16">
        <f t="shared" si="1"/>
        <v>6</v>
      </c>
      <c r="G47" s="17" t="str">
        <f t="shared" si="2"/>
        <v>VIGENTE</v>
      </c>
      <c r="H47" s="12" t="s">
        <v>236</v>
      </c>
      <c r="I47" s="19">
        <v>4.0</v>
      </c>
      <c r="J47" s="40" t="s">
        <v>95</v>
      </c>
      <c r="K47" s="21"/>
      <c r="L47" s="12" t="s">
        <v>238</v>
      </c>
      <c r="M47" s="24">
        <v>4.124686438E9</v>
      </c>
      <c r="N47" s="12"/>
      <c r="O47" s="22" t="s">
        <v>185</v>
      </c>
      <c r="P47" s="43"/>
    </row>
    <row r="48" ht="22.5" customHeight="1">
      <c r="A48" s="72" t="s">
        <v>229</v>
      </c>
      <c r="B48" s="26" t="s">
        <v>230</v>
      </c>
      <c r="C48" s="1" t="s">
        <v>33</v>
      </c>
      <c r="D48" s="74">
        <v>46250.0</v>
      </c>
      <c r="E48" s="13">
        <v>46281.0</v>
      </c>
      <c r="F48" s="16">
        <f t="shared" si="1"/>
        <v>11</v>
      </c>
      <c r="G48" s="17" t="str">
        <f t="shared" si="2"/>
        <v>VIGENTE</v>
      </c>
      <c r="H48" s="12" t="s">
        <v>240</v>
      </c>
      <c r="I48" s="19">
        <v>4.0</v>
      </c>
      <c r="J48" s="20"/>
      <c r="K48" s="21"/>
      <c r="L48" s="12" t="s">
        <v>160</v>
      </c>
      <c r="M48" s="24">
        <v>4.125355262E9</v>
      </c>
      <c r="N48" s="12"/>
      <c r="O48" s="22" t="s">
        <v>185</v>
      </c>
      <c r="P48" s="43"/>
    </row>
    <row r="49" ht="22.5" customHeight="1">
      <c r="A49" s="72" t="s">
        <v>229</v>
      </c>
      <c r="B49" s="26" t="s">
        <v>230</v>
      </c>
      <c r="C49" s="1" t="s">
        <v>39</v>
      </c>
      <c r="D49" s="70">
        <v>46251.0</v>
      </c>
      <c r="E49" s="55">
        <v>46282.0</v>
      </c>
      <c r="F49" s="16">
        <f t="shared" si="1"/>
        <v>12</v>
      </c>
      <c r="G49" s="17" t="str">
        <f t="shared" si="2"/>
        <v>VIGENTE</v>
      </c>
      <c r="H49" s="12" t="s">
        <v>245</v>
      </c>
      <c r="I49" s="19">
        <v>4.0</v>
      </c>
      <c r="J49" s="20"/>
      <c r="K49" s="21"/>
      <c r="L49" s="12" t="s">
        <v>32</v>
      </c>
      <c r="M49" s="24">
        <v>4.242030438E9</v>
      </c>
      <c r="N49" s="12"/>
      <c r="O49" s="22" t="s">
        <v>185</v>
      </c>
      <c r="P49" s="43"/>
    </row>
    <row r="50" ht="22.5" customHeight="1">
      <c r="A50" s="1" t="s">
        <v>246</v>
      </c>
      <c r="B50" s="1" t="s">
        <v>248</v>
      </c>
      <c r="C50" s="1" t="s">
        <v>39</v>
      </c>
      <c r="D50" s="68">
        <v>46238.0</v>
      </c>
      <c r="E50" s="28">
        <v>46269.0</v>
      </c>
      <c r="F50" s="16">
        <f t="shared" si="1"/>
        <v>-1</v>
      </c>
      <c r="G50" s="17" t="str">
        <f t="shared" si="2"/>
        <v>VENCIDO</v>
      </c>
      <c r="H50" s="12" t="s">
        <v>250</v>
      </c>
      <c r="I50" s="19">
        <v>4.0</v>
      </c>
      <c r="J50" s="20"/>
      <c r="K50" s="21"/>
      <c r="L50" s="12" t="s">
        <v>32</v>
      </c>
      <c r="M50" s="24">
        <v>4.129634995E9</v>
      </c>
      <c r="N50" s="12"/>
      <c r="O50" s="22" t="s">
        <v>185</v>
      </c>
      <c r="P50" s="23" t="s">
        <v>27</v>
      </c>
    </row>
    <row r="51" ht="22.5" customHeight="1">
      <c r="A51" s="1" t="s">
        <v>246</v>
      </c>
      <c r="B51" s="1" t="s">
        <v>248</v>
      </c>
      <c r="C51" s="12" t="s">
        <v>21</v>
      </c>
      <c r="D51" s="74">
        <v>46261.0</v>
      </c>
      <c r="E51" s="13">
        <v>46294.0</v>
      </c>
      <c r="F51" s="16">
        <f t="shared" si="1"/>
        <v>24</v>
      </c>
      <c r="G51" s="17" t="str">
        <f t="shared" si="2"/>
        <v>VIGENTE</v>
      </c>
      <c r="H51" s="12" t="s">
        <v>121</v>
      </c>
      <c r="I51" s="19">
        <v>4.0</v>
      </c>
      <c r="J51" s="40" t="s">
        <v>58</v>
      </c>
      <c r="K51" s="21"/>
      <c r="L51" s="12" t="s">
        <v>32</v>
      </c>
      <c r="M51" s="24">
        <v>4.242194487E9</v>
      </c>
      <c r="N51" s="12" t="s">
        <v>211</v>
      </c>
      <c r="O51" s="22" t="s">
        <v>185</v>
      </c>
      <c r="P51" s="23" t="s">
        <v>253</v>
      </c>
    </row>
    <row r="52" ht="22.5" customHeight="1">
      <c r="A52" s="1" t="s">
        <v>246</v>
      </c>
      <c r="B52" s="1" t="s">
        <v>248</v>
      </c>
      <c r="C52" s="12" t="s">
        <v>55</v>
      </c>
      <c r="D52" s="74">
        <v>46267.0</v>
      </c>
      <c r="E52" s="13">
        <v>46296.0</v>
      </c>
      <c r="F52" s="16">
        <f t="shared" si="1"/>
        <v>26</v>
      </c>
      <c r="G52" s="17" t="str">
        <f t="shared" si="2"/>
        <v>VIGENTE</v>
      </c>
      <c r="H52" s="12" t="s">
        <v>256</v>
      </c>
      <c r="I52" s="19">
        <v>4.0</v>
      </c>
      <c r="J52" s="40" t="s">
        <v>58</v>
      </c>
      <c r="K52" s="21"/>
      <c r="L52" s="12" t="s">
        <v>59</v>
      </c>
      <c r="M52" s="24">
        <v>4.142744721E9</v>
      </c>
      <c r="N52" s="12" t="s">
        <v>44</v>
      </c>
      <c r="O52" s="22" t="s">
        <v>185</v>
      </c>
      <c r="P52" s="23" t="s">
        <v>27</v>
      </c>
    </row>
    <row r="53" ht="22.5" customHeight="1">
      <c r="A53" s="1" t="s">
        <v>246</v>
      </c>
      <c r="B53" s="1" t="s">
        <v>248</v>
      </c>
      <c r="C53" s="12" t="s">
        <v>33</v>
      </c>
      <c r="D53" s="68">
        <v>46267.0</v>
      </c>
      <c r="E53" s="28">
        <v>46298.0</v>
      </c>
      <c r="F53" s="16">
        <f t="shared" si="1"/>
        <v>28</v>
      </c>
      <c r="G53" s="17" t="str">
        <f t="shared" si="2"/>
        <v>VIGENTE</v>
      </c>
      <c r="H53" s="12" t="s">
        <v>259</v>
      </c>
      <c r="I53" s="19">
        <v>4.0</v>
      </c>
      <c r="J53" s="20"/>
      <c r="K53" s="21"/>
      <c r="L53" s="12" t="s">
        <v>59</v>
      </c>
      <c r="M53" s="24">
        <v>4.242623652E9</v>
      </c>
      <c r="N53" s="12" t="s">
        <v>44</v>
      </c>
      <c r="O53" s="22" t="s">
        <v>185</v>
      </c>
      <c r="P53" s="23" t="s">
        <v>27</v>
      </c>
    </row>
    <row r="54" ht="22.5" customHeight="1">
      <c r="A54" s="1"/>
      <c r="B54" s="26"/>
      <c r="C54" s="1"/>
      <c r="D54" s="68"/>
      <c r="E54" s="28"/>
      <c r="F54" s="16">
        <f t="shared" si="1"/>
        <v>-46270</v>
      </c>
      <c r="G54" s="17" t="str">
        <f t="shared" si="2"/>
        <v>VENCIDO</v>
      </c>
      <c r="H54" s="12"/>
      <c r="I54" s="19"/>
      <c r="J54" s="20"/>
      <c r="K54" s="21"/>
      <c r="L54" s="12"/>
      <c r="M54" s="24"/>
      <c r="N54" s="12"/>
      <c r="O54" s="22" t="s">
        <v>262</v>
      </c>
      <c r="P54" s="23"/>
    </row>
    <row r="55" ht="22.5" customHeight="1">
      <c r="A55" s="1"/>
      <c r="B55" s="26"/>
      <c r="C55" s="1"/>
      <c r="D55" s="68"/>
      <c r="E55" s="28"/>
      <c r="F55" s="16">
        <f t="shared" si="1"/>
        <v>-46270</v>
      </c>
      <c r="G55" s="17" t="str">
        <f t="shared" si="2"/>
        <v>VENCIDO</v>
      </c>
      <c r="H55" s="12"/>
      <c r="I55" s="19"/>
      <c r="J55" s="20"/>
      <c r="K55" s="21"/>
      <c r="L55" s="12"/>
      <c r="M55" s="24"/>
      <c r="N55" s="12"/>
      <c r="O55" s="22" t="s">
        <v>262</v>
      </c>
      <c r="P55" s="23"/>
    </row>
    <row r="56" ht="22.5" customHeight="1">
      <c r="A56" s="11"/>
      <c r="B56" s="11"/>
      <c r="C56" s="1"/>
      <c r="D56" s="68"/>
      <c r="E56" s="28"/>
      <c r="F56" s="16">
        <f t="shared" si="1"/>
        <v>-46270</v>
      </c>
      <c r="G56" s="17" t="str">
        <f t="shared" si="2"/>
        <v>VENCIDO</v>
      </c>
      <c r="H56" s="12"/>
      <c r="I56" s="19"/>
      <c r="J56" s="20"/>
      <c r="K56" s="21"/>
      <c r="L56" s="12"/>
      <c r="M56" s="24"/>
      <c r="N56" s="12"/>
      <c r="O56" s="22" t="s">
        <v>262</v>
      </c>
      <c r="P56" s="23"/>
    </row>
    <row r="57" ht="22.5" customHeight="1">
      <c r="A57" s="11"/>
      <c r="B57" s="65"/>
      <c r="C57" s="1"/>
      <c r="D57" s="68"/>
      <c r="E57" s="28"/>
      <c r="F57" s="16">
        <f t="shared" si="1"/>
        <v>-46270</v>
      </c>
      <c r="G57" s="17" t="str">
        <f t="shared" si="2"/>
        <v>VENCIDO</v>
      </c>
      <c r="H57" s="12"/>
      <c r="I57" s="19"/>
      <c r="J57" s="20"/>
      <c r="K57" s="21"/>
      <c r="L57" s="12"/>
      <c r="M57" s="24"/>
      <c r="N57" s="12"/>
      <c r="O57" s="22" t="s">
        <v>262</v>
      </c>
      <c r="P57" s="23"/>
    </row>
    <row r="58" ht="22.5" customHeight="1">
      <c r="A58" s="52"/>
      <c r="B58" s="42"/>
      <c r="C58" s="1"/>
      <c r="D58" s="68"/>
      <c r="E58" s="28"/>
      <c r="F58" s="16">
        <f t="shared" si="1"/>
        <v>-46270</v>
      </c>
      <c r="G58" s="17" t="str">
        <f t="shared" si="2"/>
        <v>VENCIDO</v>
      </c>
      <c r="H58" s="12"/>
      <c r="I58" s="19"/>
      <c r="J58" s="20"/>
      <c r="K58" s="21"/>
      <c r="L58" s="12"/>
      <c r="M58" s="24"/>
      <c r="N58" s="12"/>
      <c r="O58" s="22" t="s">
        <v>262</v>
      </c>
      <c r="P58" s="23" t="s">
        <v>27</v>
      </c>
    </row>
    <row r="59" ht="22.5" customHeight="1">
      <c r="A59" s="36"/>
      <c r="B59" s="26"/>
      <c r="C59" s="1"/>
      <c r="D59" s="68"/>
      <c r="E59" s="28"/>
      <c r="F59" s="16">
        <f t="shared" si="1"/>
        <v>-46270</v>
      </c>
      <c r="G59" s="17" t="str">
        <f t="shared" si="2"/>
        <v>VENCIDO</v>
      </c>
      <c r="H59" s="12"/>
      <c r="I59" s="19"/>
      <c r="J59" s="20"/>
      <c r="K59" s="21"/>
      <c r="L59" s="12"/>
      <c r="M59" s="24"/>
      <c r="N59" s="12"/>
      <c r="O59" s="22" t="s">
        <v>262</v>
      </c>
      <c r="P59" s="23"/>
    </row>
    <row r="60" ht="22.5" customHeight="1">
      <c r="A60" s="1"/>
      <c r="B60" s="1"/>
      <c r="C60" s="1"/>
      <c r="D60" s="68"/>
      <c r="E60" s="28"/>
      <c r="F60" s="16">
        <f t="shared" si="1"/>
        <v>-46270</v>
      </c>
      <c r="G60" s="17" t="str">
        <f t="shared" si="2"/>
        <v>VENCIDO</v>
      </c>
      <c r="H60" s="12"/>
      <c r="I60" s="19"/>
      <c r="J60" s="20"/>
      <c r="K60" s="21"/>
      <c r="L60" s="12"/>
      <c r="M60" s="24"/>
      <c r="N60" s="12"/>
      <c r="O60" s="22" t="s">
        <v>262</v>
      </c>
      <c r="P60" s="23"/>
    </row>
    <row r="61" ht="22.5" customHeight="1">
      <c r="A61" s="9"/>
      <c r="B61" s="64"/>
      <c r="C61" s="1"/>
      <c r="D61" s="70"/>
      <c r="E61" s="55"/>
      <c r="F61" s="16">
        <f t="shared" si="1"/>
        <v>-46270</v>
      </c>
      <c r="G61" s="17" t="str">
        <f t="shared" si="2"/>
        <v>VENCIDO</v>
      </c>
      <c r="H61" s="12"/>
      <c r="I61" s="19"/>
      <c r="J61" s="20"/>
      <c r="K61" s="21"/>
      <c r="L61" s="12"/>
      <c r="M61" s="24"/>
      <c r="N61" s="12"/>
      <c r="O61" s="22" t="s">
        <v>262</v>
      </c>
      <c r="P61" s="23"/>
    </row>
    <row r="62" ht="22.5" customHeight="1">
      <c r="A62" s="31"/>
      <c r="B62" s="1"/>
      <c r="C62" s="12"/>
      <c r="D62" s="74"/>
      <c r="E62" s="13"/>
      <c r="F62" s="16">
        <f t="shared" si="1"/>
        <v>-46270</v>
      </c>
      <c r="G62" s="17" t="str">
        <f t="shared" si="2"/>
        <v>VENCIDO</v>
      </c>
      <c r="H62" s="12"/>
      <c r="I62" s="19"/>
      <c r="J62" s="20"/>
      <c r="K62" s="21"/>
      <c r="L62" s="12"/>
      <c r="M62" s="24"/>
      <c r="N62" s="12"/>
      <c r="O62" s="22" t="s">
        <v>262</v>
      </c>
      <c r="P62" s="43"/>
    </row>
    <row r="63" ht="22.5" customHeight="1">
      <c r="A63" s="1"/>
      <c r="B63" s="1"/>
      <c r="C63" s="12"/>
      <c r="D63" s="74"/>
      <c r="E63" s="13"/>
      <c r="F63" s="16">
        <f t="shared" si="1"/>
        <v>-46270</v>
      </c>
      <c r="G63" s="17" t="str">
        <f t="shared" si="2"/>
        <v>VENCIDO</v>
      </c>
      <c r="H63" s="12"/>
      <c r="I63" s="19"/>
      <c r="J63" s="20"/>
      <c r="K63" s="21"/>
      <c r="L63" s="12"/>
      <c r="M63" s="24"/>
      <c r="N63" s="12"/>
      <c r="O63" s="22" t="s">
        <v>262</v>
      </c>
      <c r="P63" s="43"/>
    </row>
    <row r="64" ht="22.5" customHeight="1">
      <c r="A64" s="1"/>
      <c r="B64" s="1"/>
      <c r="C64" s="1"/>
      <c r="D64" s="74"/>
      <c r="E64" s="13"/>
      <c r="F64" s="16">
        <f t="shared" si="1"/>
        <v>-46270</v>
      </c>
      <c r="G64" s="17" t="str">
        <f t="shared" si="2"/>
        <v>VENCIDO</v>
      </c>
      <c r="H64" s="12"/>
      <c r="I64" s="19"/>
      <c r="J64" s="20"/>
      <c r="K64" s="21"/>
      <c r="L64" s="12"/>
      <c r="M64" s="24"/>
      <c r="N64" s="12"/>
      <c r="O64" s="22" t="s">
        <v>262</v>
      </c>
      <c r="P64" s="23"/>
    </row>
    <row r="65" ht="22.5" customHeight="1">
      <c r="A65" s="1"/>
      <c r="B65" s="1"/>
      <c r="C65" s="1"/>
      <c r="D65" s="74"/>
      <c r="E65" s="13"/>
      <c r="F65" s="16">
        <f t="shared" si="1"/>
        <v>-46270</v>
      </c>
      <c r="G65" s="17" t="str">
        <f t="shared" si="2"/>
        <v>VENCIDO</v>
      </c>
      <c r="H65" s="12"/>
      <c r="I65" s="19"/>
      <c r="J65" s="20"/>
      <c r="K65" s="21"/>
      <c r="L65" s="12"/>
      <c r="M65" s="24"/>
      <c r="N65" s="12"/>
      <c r="O65" s="22" t="s">
        <v>262</v>
      </c>
      <c r="P65" s="23"/>
    </row>
    <row r="66" ht="22.5" customHeight="1">
      <c r="A66" s="42"/>
      <c r="B66" s="42"/>
      <c r="C66" s="1"/>
      <c r="D66" s="74"/>
      <c r="E66" s="13"/>
      <c r="F66" s="16">
        <f t="shared" si="1"/>
        <v>-46270</v>
      </c>
      <c r="G66" s="17" t="str">
        <f t="shared" si="2"/>
        <v>VENCIDO</v>
      </c>
      <c r="H66" s="12"/>
      <c r="I66" s="19"/>
      <c r="J66" s="20"/>
      <c r="K66" s="21"/>
      <c r="L66" s="12"/>
      <c r="M66" s="24"/>
      <c r="N66" s="12"/>
      <c r="O66" s="22" t="s">
        <v>262</v>
      </c>
      <c r="P66" s="23"/>
    </row>
    <row r="67" ht="22.5" customHeight="1">
      <c r="A67" s="42"/>
      <c r="B67" s="42"/>
      <c r="C67" s="42"/>
      <c r="D67" s="74"/>
      <c r="E67" s="13"/>
      <c r="F67" s="16">
        <f t="shared" si="1"/>
        <v>-46270</v>
      </c>
      <c r="G67" s="17" t="str">
        <f t="shared" si="2"/>
        <v>VENCIDO</v>
      </c>
      <c r="H67" s="12"/>
      <c r="I67" s="19"/>
      <c r="J67" s="20"/>
      <c r="K67" s="21"/>
      <c r="L67" s="12"/>
      <c r="M67" s="24"/>
      <c r="N67" s="12"/>
      <c r="O67" s="22" t="s">
        <v>262</v>
      </c>
      <c r="P67" s="23"/>
    </row>
    <row r="68" ht="22.5" customHeight="1">
      <c r="A68" s="35"/>
      <c r="B68" s="42"/>
      <c r="C68" s="57"/>
      <c r="D68" s="74"/>
      <c r="E68" s="13"/>
      <c r="F68" s="16">
        <f t="shared" si="1"/>
        <v>-46270</v>
      </c>
      <c r="G68" s="17" t="str">
        <f t="shared" si="2"/>
        <v>VENCIDO</v>
      </c>
      <c r="H68" s="12"/>
      <c r="I68" s="19"/>
      <c r="J68" s="20"/>
      <c r="K68" s="21"/>
      <c r="L68" s="12"/>
      <c r="M68" s="24"/>
      <c r="N68" s="12"/>
      <c r="O68" s="22" t="s">
        <v>262</v>
      </c>
      <c r="P68" s="23"/>
    </row>
    <row r="69" ht="22.5" customHeight="1">
      <c r="A69" s="79"/>
      <c r="B69" s="79"/>
      <c r="C69" s="22"/>
      <c r="D69" s="74"/>
      <c r="E69" s="13"/>
      <c r="F69" s="16">
        <f t="shared" si="1"/>
        <v>-46270</v>
      </c>
      <c r="G69" s="17" t="str">
        <f t="shared" si="2"/>
        <v>VENCIDO</v>
      </c>
      <c r="H69" s="12"/>
      <c r="I69" s="19"/>
      <c r="J69" s="20"/>
      <c r="K69" s="21"/>
      <c r="L69" s="12"/>
      <c r="M69" s="24"/>
      <c r="N69" s="12"/>
      <c r="O69" s="22" t="s">
        <v>262</v>
      </c>
      <c r="P69" s="23"/>
    </row>
    <row r="70" ht="22.5" customHeight="1">
      <c r="A70" s="79"/>
      <c r="B70" s="79"/>
      <c r="C70" s="22"/>
      <c r="D70" s="74"/>
      <c r="E70" s="13"/>
      <c r="F70" s="16">
        <f t="shared" si="1"/>
        <v>-46270</v>
      </c>
      <c r="G70" s="17" t="str">
        <f t="shared" si="2"/>
        <v>VENCIDO</v>
      </c>
      <c r="H70" s="12"/>
      <c r="I70" s="19"/>
      <c r="J70" s="20"/>
      <c r="K70" s="21"/>
      <c r="L70" s="12"/>
      <c r="M70" s="24"/>
      <c r="N70" s="12"/>
      <c r="O70" s="22" t="s">
        <v>262</v>
      </c>
      <c r="P70" s="23"/>
    </row>
    <row r="71" ht="22.5" customHeight="1">
      <c r="A71" s="52"/>
      <c r="B71" s="42"/>
      <c r="C71" s="1"/>
      <c r="D71" s="74"/>
      <c r="E71" s="13"/>
      <c r="F71" s="16">
        <f t="shared" si="1"/>
        <v>-46270</v>
      </c>
      <c r="G71" s="17" t="str">
        <f t="shared" si="2"/>
        <v>VENCIDO</v>
      </c>
      <c r="H71" s="12"/>
      <c r="I71" s="19"/>
      <c r="J71" s="20"/>
      <c r="K71" s="21"/>
      <c r="L71" s="12"/>
      <c r="M71" s="24"/>
      <c r="N71" s="12"/>
      <c r="O71" s="22" t="s">
        <v>262</v>
      </c>
      <c r="P71" s="23"/>
    </row>
    <row r="72" ht="22.5" customHeight="1">
      <c r="A72" s="52"/>
      <c r="B72" s="42"/>
      <c r="C72" s="1"/>
      <c r="D72" s="74"/>
      <c r="E72" s="13"/>
      <c r="F72" s="16">
        <f t="shared" si="1"/>
        <v>-46270</v>
      </c>
      <c r="G72" s="17" t="str">
        <f t="shared" si="2"/>
        <v>VENCIDO</v>
      </c>
      <c r="H72" s="12"/>
      <c r="I72" s="19"/>
      <c r="J72" s="20"/>
      <c r="K72" s="21"/>
      <c r="L72" s="12"/>
      <c r="M72" s="24"/>
      <c r="N72" s="12"/>
      <c r="O72" s="22" t="s">
        <v>262</v>
      </c>
      <c r="P72" s="23"/>
    </row>
    <row r="73" ht="22.5" customHeight="1">
      <c r="A73" s="79"/>
      <c r="B73" s="79"/>
      <c r="C73" s="79"/>
      <c r="D73" s="74"/>
      <c r="E73" s="13"/>
      <c r="F73" s="16">
        <f t="shared" si="1"/>
        <v>-46270</v>
      </c>
      <c r="G73" s="17" t="str">
        <f t="shared" si="2"/>
        <v>VENCIDO</v>
      </c>
      <c r="H73" s="12"/>
      <c r="I73" s="19"/>
      <c r="J73" s="20"/>
      <c r="K73" s="21"/>
      <c r="L73" s="12"/>
      <c r="M73" s="24"/>
      <c r="N73" s="12"/>
      <c r="O73" s="22" t="s">
        <v>262</v>
      </c>
      <c r="P73" s="23"/>
    </row>
    <row r="74" ht="22.5" customHeight="1">
      <c r="A74" s="79"/>
      <c r="B74" s="79"/>
      <c r="C74" s="79"/>
      <c r="D74" s="74"/>
      <c r="E74" s="13"/>
      <c r="F74" s="16">
        <f t="shared" si="1"/>
        <v>-46270</v>
      </c>
      <c r="G74" s="17" t="str">
        <f t="shared" si="2"/>
        <v>VENCIDO</v>
      </c>
      <c r="H74" s="12"/>
      <c r="I74" s="19"/>
      <c r="J74" s="20"/>
      <c r="K74" s="21"/>
      <c r="L74" s="12"/>
      <c r="M74" s="24"/>
      <c r="N74" s="12"/>
      <c r="O74" s="22" t="s">
        <v>262</v>
      </c>
      <c r="P74" s="23"/>
    </row>
    <row r="75" ht="22.5" customHeight="1">
      <c r="A75" s="79"/>
      <c r="B75" s="79"/>
      <c r="C75" s="79"/>
      <c r="D75" s="74"/>
      <c r="E75" s="13"/>
      <c r="F75" s="16">
        <f t="shared" si="1"/>
        <v>-46270</v>
      </c>
      <c r="G75" s="17" t="str">
        <f t="shared" si="2"/>
        <v>VENCIDO</v>
      </c>
      <c r="H75" s="12"/>
      <c r="I75" s="19"/>
      <c r="J75" s="20"/>
      <c r="K75" s="21"/>
      <c r="L75" s="12"/>
      <c r="M75" s="24"/>
      <c r="N75" s="12"/>
      <c r="O75" s="22" t="s">
        <v>262</v>
      </c>
      <c r="P75" s="23"/>
    </row>
    <row r="76" ht="22.5" customHeight="1">
      <c r="A76" s="42"/>
      <c r="B76" s="36"/>
      <c r="C76" s="57"/>
      <c r="D76" s="74"/>
      <c r="E76" s="13"/>
      <c r="F76" s="16">
        <f t="shared" si="1"/>
        <v>-46270</v>
      </c>
      <c r="G76" s="17" t="str">
        <f t="shared" si="2"/>
        <v>VENCIDO</v>
      </c>
      <c r="H76" s="12"/>
      <c r="I76" s="19"/>
      <c r="J76" s="20"/>
      <c r="K76" s="21"/>
      <c r="L76" s="12"/>
      <c r="M76" s="24"/>
      <c r="N76" s="12"/>
      <c r="O76" s="22" t="s">
        <v>262</v>
      </c>
      <c r="P76" s="43"/>
    </row>
    <row r="77" ht="22.5" customHeight="1">
      <c r="A77" s="42"/>
      <c r="B77" s="36"/>
      <c r="C77" s="57"/>
      <c r="D77" s="74"/>
      <c r="E77" s="13"/>
      <c r="F77" s="16">
        <f t="shared" si="1"/>
        <v>-46270</v>
      </c>
      <c r="G77" s="17" t="str">
        <f t="shared" si="2"/>
        <v>VENCIDO</v>
      </c>
      <c r="H77" s="12"/>
      <c r="I77" s="19"/>
      <c r="J77" s="20"/>
      <c r="K77" s="21"/>
      <c r="L77" s="12"/>
      <c r="M77" s="24"/>
      <c r="N77" s="12"/>
      <c r="O77" s="22" t="s">
        <v>262</v>
      </c>
      <c r="P77" s="43"/>
    </row>
    <row r="78" ht="22.5" customHeight="1">
      <c r="A78" s="42"/>
      <c r="B78" s="36"/>
      <c r="C78" s="57"/>
      <c r="D78" s="74"/>
      <c r="E78" s="13"/>
      <c r="F78" s="16">
        <f t="shared" si="1"/>
        <v>-46270</v>
      </c>
      <c r="G78" s="17" t="str">
        <f t="shared" si="2"/>
        <v>VENCIDO</v>
      </c>
      <c r="H78" s="12"/>
      <c r="I78" s="19"/>
      <c r="J78" s="20"/>
      <c r="K78" s="21"/>
      <c r="L78" s="12"/>
      <c r="M78" s="24"/>
      <c r="N78" s="12"/>
      <c r="O78" s="22" t="s">
        <v>262</v>
      </c>
      <c r="P78" s="43"/>
    </row>
    <row r="79" ht="22.5" customHeight="1">
      <c r="A79" s="42"/>
      <c r="B79" s="36"/>
      <c r="C79" s="57"/>
      <c r="D79" s="74"/>
      <c r="E79" s="13"/>
      <c r="F79" s="16">
        <f t="shared" si="1"/>
        <v>-46270</v>
      </c>
      <c r="G79" s="17" t="str">
        <f t="shared" si="2"/>
        <v>VENCIDO</v>
      </c>
      <c r="H79" s="12"/>
      <c r="I79" s="19"/>
      <c r="J79" s="20"/>
      <c r="K79" s="21"/>
      <c r="L79" s="12"/>
      <c r="M79" s="24"/>
      <c r="N79" s="12"/>
      <c r="O79" s="22" t="s">
        <v>262</v>
      </c>
      <c r="P79" s="43"/>
    </row>
    <row r="80" ht="22.5" customHeight="1">
      <c r="A80" s="42"/>
      <c r="B80" s="36"/>
      <c r="C80" s="57"/>
      <c r="D80" s="74"/>
      <c r="E80" s="13"/>
      <c r="F80" s="16">
        <f t="shared" si="1"/>
        <v>-46270</v>
      </c>
      <c r="G80" s="17" t="str">
        <f t="shared" si="2"/>
        <v>VENCIDO</v>
      </c>
      <c r="H80" s="12"/>
      <c r="I80" s="19"/>
      <c r="J80" s="20"/>
      <c r="K80" s="21"/>
      <c r="L80" s="12"/>
      <c r="M80" s="24"/>
      <c r="N80" s="12"/>
      <c r="O80" s="22" t="s">
        <v>262</v>
      </c>
      <c r="P80" s="43"/>
    </row>
    <row r="81" ht="22.5" customHeight="1">
      <c r="A81" s="42"/>
      <c r="B81" s="36"/>
      <c r="C81" s="57"/>
      <c r="D81" s="74"/>
      <c r="E81" s="13"/>
      <c r="F81" s="16">
        <f t="shared" si="1"/>
        <v>-46270</v>
      </c>
      <c r="G81" s="17" t="str">
        <f t="shared" si="2"/>
        <v>VENCIDO</v>
      </c>
      <c r="H81" s="12"/>
      <c r="I81" s="19"/>
      <c r="J81" s="20"/>
      <c r="K81" s="21"/>
      <c r="L81" s="12"/>
      <c r="M81" s="24"/>
      <c r="N81" s="12"/>
      <c r="O81" s="22" t="s">
        <v>262</v>
      </c>
      <c r="P81" s="43"/>
    </row>
    <row r="82" ht="22.5" customHeight="1">
      <c r="A82" s="42"/>
      <c r="B82" s="36"/>
      <c r="C82" s="57"/>
      <c r="D82" s="74"/>
      <c r="E82" s="13"/>
      <c r="F82" s="16">
        <f t="shared" si="1"/>
        <v>-46270</v>
      </c>
      <c r="G82" s="17" t="str">
        <f t="shared" si="2"/>
        <v>VENCIDO</v>
      </c>
      <c r="H82" s="12"/>
      <c r="I82" s="19"/>
      <c r="J82" s="20"/>
      <c r="K82" s="21"/>
      <c r="L82" s="12"/>
      <c r="M82" s="24"/>
      <c r="N82" s="12"/>
      <c r="O82" s="22" t="s">
        <v>262</v>
      </c>
      <c r="P82" s="43"/>
    </row>
    <row r="83" ht="22.5" customHeight="1">
      <c r="A83" s="42"/>
      <c r="B83" s="36"/>
      <c r="C83" s="57"/>
      <c r="D83" s="74"/>
      <c r="E83" s="13"/>
      <c r="F83" s="16">
        <f t="shared" si="1"/>
        <v>-46270</v>
      </c>
      <c r="G83" s="17" t="str">
        <f t="shared" si="2"/>
        <v>VENCIDO</v>
      </c>
      <c r="H83" s="12"/>
      <c r="I83" s="19"/>
      <c r="J83" s="20"/>
      <c r="K83" s="21"/>
      <c r="L83" s="12"/>
      <c r="M83" s="24"/>
      <c r="N83" s="12"/>
      <c r="O83" s="22" t="s">
        <v>262</v>
      </c>
      <c r="P83" s="43"/>
    </row>
    <row r="84" ht="22.5" customHeight="1">
      <c r="A84" s="42"/>
      <c r="B84" s="36"/>
      <c r="C84" s="57"/>
      <c r="D84" s="74"/>
      <c r="E84" s="13"/>
      <c r="F84" s="16">
        <f t="shared" si="1"/>
        <v>-46270</v>
      </c>
      <c r="G84" s="17" t="str">
        <f t="shared" si="2"/>
        <v>VENCIDO</v>
      </c>
      <c r="H84" s="12"/>
      <c r="I84" s="19"/>
      <c r="J84" s="20"/>
      <c r="K84" s="21"/>
      <c r="L84" s="12"/>
      <c r="M84" s="24"/>
      <c r="N84" s="12"/>
      <c r="O84" s="22" t="s">
        <v>262</v>
      </c>
      <c r="P84" s="43"/>
    </row>
    <row r="85" ht="22.5" customHeight="1">
      <c r="A85" s="79"/>
      <c r="B85" s="79"/>
      <c r="C85" s="79"/>
      <c r="D85" s="74"/>
      <c r="E85" s="13"/>
      <c r="F85" s="16">
        <f t="shared" si="1"/>
        <v>-46270</v>
      </c>
      <c r="G85" s="17" t="str">
        <f t="shared" si="2"/>
        <v>VENCIDO</v>
      </c>
      <c r="H85" s="12"/>
      <c r="I85" s="19"/>
      <c r="J85" s="20"/>
      <c r="K85" s="21"/>
      <c r="L85" s="12"/>
      <c r="M85" s="24"/>
      <c r="N85" s="12"/>
      <c r="O85" s="22" t="s">
        <v>262</v>
      </c>
      <c r="P85" s="23"/>
    </row>
    <row r="86" ht="22.5" customHeight="1">
      <c r="A86" s="79"/>
      <c r="B86" s="79"/>
      <c r="C86" s="79"/>
      <c r="D86" s="74"/>
      <c r="E86" s="13"/>
      <c r="F86" s="16">
        <f t="shared" si="1"/>
        <v>-46270</v>
      </c>
      <c r="G86" s="17" t="str">
        <f t="shared" si="2"/>
        <v>VENCIDO</v>
      </c>
      <c r="H86" s="12"/>
      <c r="I86" s="19"/>
      <c r="J86" s="20"/>
      <c r="K86" s="21"/>
      <c r="L86" s="12"/>
      <c r="M86" s="24"/>
      <c r="N86" s="12"/>
      <c r="O86" s="22" t="s">
        <v>262</v>
      </c>
      <c r="P86" s="23"/>
    </row>
    <row r="87" ht="22.5" customHeight="1">
      <c r="A87" s="79"/>
      <c r="B87" s="79"/>
      <c r="C87" s="79"/>
      <c r="D87" s="74"/>
      <c r="E87" s="13"/>
      <c r="F87" s="16">
        <f t="shared" si="1"/>
        <v>-46270</v>
      </c>
      <c r="G87" s="17" t="str">
        <f t="shared" si="2"/>
        <v>VENCIDO</v>
      </c>
      <c r="H87" s="12"/>
      <c r="I87" s="19"/>
      <c r="J87" s="20"/>
      <c r="K87" s="21"/>
      <c r="L87" s="12"/>
      <c r="M87" s="24"/>
      <c r="N87" s="12"/>
      <c r="O87" s="22" t="s">
        <v>262</v>
      </c>
      <c r="P87" s="23"/>
    </row>
    <row r="88" ht="22.5" customHeight="1">
      <c r="A88" s="79"/>
      <c r="B88" s="79"/>
      <c r="C88" s="79"/>
      <c r="D88" s="74"/>
      <c r="E88" s="13"/>
      <c r="F88" s="16">
        <f t="shared" si="1"/>
        <v>-46270</v>
      </c>
      <c r="G88" s="17" t="str">
        <f t="shared" si="2"/>
        <v>VENCIDO</v>
      </c>
      <c r="H88" s="12"/>
      <c r="I88" s="19"/>
      <c r="J88" s="20"/>
      <c r="K88" s="21"/>
      <c r="L88" s="12"/>
      <c r="M88" s="24"/>
      <c r="N88" s="12"/>
      <c r="O88" s="22" t="s">
        <v>262</v>
      </c>
      <c r="P88" s="23"/>
    </row>
    <row r="89" ht="22.5" customHeight="1">
      <c r="A89" s="42"/>
      <c r="B89" s="36"/>
      <c r="C89" s="57"/>
      <c r="D89" s="74"/>
      <c r="E89" s="13"/>
      <c r="F89" s="16">
        <f t="shared" si="1"/>
        <v>-46270</v>
      </c>
      <c r="G89" s="17" t="str">
        <f t="shared" si="2"/>
        <v>VENCIDO</v>
      </c>
      <c r="H89" s="12"/>
      <c r="I89" s="19"/>
      <c r="J89" s="20"/>
      <c r="K89" s="21"/>
      <c r="L89" s="12"/>
      <c r="M89" s="24"/>
      <c r="N89" s="12"/>
      <c r="O89" s="22" t="s">
        <v>262</v>
      </c>
      <c r="P89" s="43"/>
    </row>
    <row r="90" ht="22.5" customHeight="1">
      <c r="A90" s="35"/>
      <c r="B90" s="36"/>
      <c r="C90" s="35"/>
      <c r="D90" s="74"/>
      <c r="E90" s="13"/>
      <c r="F90" s="16">
        <f t="shared" si="1"/>
        <v>-46270</v>
      </c>
      <c r="G90" s="17" t="str">
        <f t="shared" si="2"/>
        <v>VENCIDO</v>
      </c>
      <c r="H90" s="12"/>
      <c r="I90" s="19"/>
      <c r="J90" s="20"/>
      <c r="K90" s="21"/>
      <c r="L90" s="12"/>
      <c r="M90" s="24"/>
      <c r="N90" s="12"/>
      <c r="O90" s="22" t="s">
        <v>262</v>
      </c>
      <c r="P90" s="43"/>
    </row>
    <row r="91" ht="22.5" customHeight="1">
      <c r="A91" s="42"/>
      <c r="B91" s="87"/>
      <c r="C91" s="57"/>
      <c r="D91" s="74"/>
      <c r="E91" s="13"/>
      <c r="F91" s="16">
        <f t="shared" si="1"/>
        <v>-46270</v>
      </c>
      <c r="G91" s="17" t="str">
        <f t="shared" si="2"/>
        <v>VENCIDO</v>
      </c>
      <c r="H91" s="12"/>
      <c r="I91" s="19"/>
      <c r="J91" s="20"/>
      <c r="K91" s="21"/>
      <c r="L91" s="12"/>
      <c r="M91" s="24"/>
      <c r="N91" s="12"/>
      <c r="O91" s="22" t="s">
        <v>262</v>
      </c>
      <c r="P91" s="43"/>
    </row>
    <row r="92" ht="22.5" customHeight="1">
      <c r="A92" s="79"/>
      <c r="B92" s="79"/>
      <c r="C92" s="79"/>
      <c r="D92" s="74"/>
      <c r="E92" s="13"/>
      <c r="F92" s="16">
        <f t="shared" si="1"/>
        <v>-46270</v>
      </c>
      <c r="G92" s="17" t="str">
        <f t="shared" si="2"/>
        <v>VENCIDO</v>
      </c>
      <c r="H92" s="12"/>
      <c r="I92" s="19"/>
      <c r="J92" s="20"/>
      <c r="K92" s="21"/>
      <c r="L92" s="12"/>
      <c r="M92" s="24"/>
      <c r="N92" s="12"/>
      <c r="O92" s="22" t="s">
        <v>262</v>
      </c>
      <c r="P92" s="43"/>
    </row>
    <row r="93" ht="22.5" customHeight="1">
      <c r="A93" s="35"/>
      <c r="B93" s="88"/>
      <c r="C93" s="35"/>
      <c r="D93" s="74"/>
      <c r="E93" s="13"/>
      <c r="F93" s="16">
        <f t="shared" si="1"/>
        <v>-46270</v>
      </c>
      <c r="G93" s="17" t="str">
        <f t="shared" si="2"/>
        <v>VENCIDO</v>
      </c>
      <c r="H93" s="12"/>
      <c r="I93" s="19"/>
      <c r="J93" s="20"/>
      <c r="K93" s="21"/>
      <c r="L93" s="12"/>
      <c r="M93" s="24"/>
      <c r="N93" s="30"/>
      <c r="O93" s="86" t="s">
        <v>262</v>
      </c>
      <c r="P93" s="43"/>
    </row>
    <row r="94" ht="22.5" customHeight="1">
      <c r="A94" s="35"/>
      <c r="B94" s="88"/>
      <c r="C94" s="35"/>
      <c r="D94" s="74"/>
      <c r="E94" s="13"/>
      <c r="F94" s="16">
        <f t="shared" si="1"/>
        <v>-46270</v>
      </c>
      <c r="G94" s="17" t="str">
        <f t="shared" si="2"/>
        <v>VENCIDO</v>
      </c>
      <c r="H94" s="12"/>
      <c r="I94" s="19"/>
      <c r="J94" s="20"/>
      <c r="K94" s="21"/>
      <c r="L94" s="12"/>
      <c r="M94" s="24"/>
      <c r="N94" s="30"/>
      <c r="O94" s="22" t="s">
        <v>262</v>
      </c>
      <c r="P94" s="43"/>
    </row>
    <row r="95" ht="22.5" customHeight="1">
      <c r="A95" s="35"/>
      <c r="B95" s="88"/>
      <c r="C95" s="35"/>
      <c r="D95" s="74"/>
      <c r="E95" s="13"/>
      <c r="F95" s="16">
        <f t="shared" si="1"/>
        <v>-46270</v>
      </c>
      <c r="G95" s="17" t="str">
        <f t="shared" si="2"/>
        <v>VENCIDO</v>
      </c>
      <c r="H95" s="12"/>
      <c r="I95" s="19"/>
      <c r="J95" s="20"/>
      <c r="K95" s="21"/>
      <c r="L95" s="12"/>
      <c r="M95" s="24"/>
      <c r="N95" s="30"/>
      <c r="O95" s="22" t="s">
        <v>262</v>
      </c>
      <c r="P95" s="43"/>
    </row>
    <row r="96" ht="22.5" customHeight="1">
      <c r="A96" s="35"/>
      <c r="B96" s="36"/>
      <c r="C96" s="57"/>
      <c r="D96" s="74"/>
      <c r="E96" s="13"/>
      <c r="F96" s="16">
        <f t="shared" si="1"/>
        <v>-46270</v>
      </c>
      <c r="G96" s="17" t="str">
        <f t="shared" si="2"/>
        <v>VENCIDO</v>
      </c>
      <c r="H96" s="12"/>
      <c r="I96" s="19"/>
      <c r="J96" s="20"/>
      <c r="K96" s="21"/>
      <c r="L96" s="12"/>
      <c r="M96" s="24"/>
      <c r="N96" s="30"/>
      <c r="O96" s="22" t="s">
        <v>262</v>
      </c>
      <c r="P96" s="43"/>
    </row>
    <row r="97" ht="22.5" customHeight="1">
      <c r="A97" s="35"/>
      <c r="B97" s="36"/>
      <c r="C97" s="57"/>
      <c r="D97" s="74"/>
      <c r="E97" s="13"/>
      <c r="F97" s="16">
        <f t="shared" si="1"/>
        <v>-46270</v>
      </c>
      <c r="G97" s="17" t="str">
        <f t="shared" si="2"/>
        <v>VENCIDO</v>
      </c>
      <c r="H97" s="12"/>
      <c r="I97" s="19"/>
      <c r="J97" s="20"/>
      <c r="K97" s="21"/>
      <c r="L97" s="12"/>
      <c r="M97" s="24"/>
      <c r="N97" s="30"/>
      <c r="O97" s="22" t="s">
        <v>262</v>
      </c>
      <c r="P97" s="43"/>
    </row>
    <row r="98">
      <c r="A98" s="89"/>
      <c r="B98" s="89"/>
      <c r="C98" s="89"/>
      <c r="D98" s="89"/>
      <c r="E98" s="89"/>
      <c r="F98" s="89"/>
      <c r="G98" s="89"/>
      <c r="H98" s="89"/>
      <c r="I98" s="89"/>
      <c r="J98" s="89"/>
      <c r="K98" s="89"/>
      <c r="L98" s="89"/>
      <c r="M98" s="89"/>
      <c r="N98" s="89"/>
      <c r="O98" s="89" t="s">
        <v>262</v>
      </c>
      <c r="P98" s="90"/>
    </row>
    <row r="99">
      <c r="A99" s="89"/>
      <c r="B99" s="89"/>
      <c r="C99" s="89"/>
      <c r="D99" s="89"/>
      <c r="E99" s="89"/>
      <c r="F99" s="89"/>
      <c r="G99" s="89"/>
      <c r="H99" s="89"/>
      <c r="I99" s="89"/>
      <c r="J99" s="89"/>
      <c r="K99" s="89"/>
      <c r="L99" s="89"/>
      <c r="M99" s="89"/>
      <c r="N99" s="89"/>
      <c r="O99" s="89" t="s">
        <v>262</v>
      </c>
      <c r="P99" s="90"/>
    </row>
    <row r="100">
      <c r="A100" s="89"/>
      <c r="B100" s="89"/>
      <c r="C100" s="89"/>
      <c r="D100" s="89"/>
      <c r="E100" s="89"/>
      <c r="F100" s="89"/>
      <c r="G100" s="89"/>
      <c r="H100" s="89"/>
      <c r="I100" s="89"/>
      <c r="J100" s="89"/>
      <c r="K100" s="89"/>
      <c r="L100" s="89"/>
      <c r="M100" s="89"/>
      <c r="N100" s="89"/>
      <c r="O100" s="89" t="s">
        <v>262</v>
      </c>
      <c r="P100" s="90"/>
    </row>
    <row r="101">
      <c r="A101" s="89"/>
      <c r="B101" s="89"/>
      <c r="C101" s="89"/>
      <c r="D101" s="89"/>
      <c r="E101" s="89"/>
      <c r="F101" s="89"/>
      <c r="G101" s="89"/>
      <c r="H101" s="89"/>
      <c r="I101" s="89"/>
      <c r="J101" s="89"/>
      <c r="K101" s="89"/>
      <c r="L101" s="89"/>
      <c r="M101" s="89"/>
      <c r="N101" s="89"/>
      <c r="O101" s="89" t="s">
        <v>262</v>
      </c>
      <c r="P101" s="90"/>
    </row>
    <row r="102">
      <c r="A102" s="89"/>
      <c r="B102" s="89"/>
      <c r="C102" s="89"/>
      <c r="D102" s="89"/>
      <c r="E102" s="89"/>
      <c r="F102" s="89"/>
      <c r="G102" s="89"/>
      <c r="H102" s="89"/>
      <c r="I102" s="89"/>
      <c r="J102" s="89"/>
      <c r="K102" s="89"/>
      <c r="L102" s="89"/>
      <c r="M102" s="89"/>
      <c r="N102" s="89"/>
      <c r="O102" s="89" t="s">
        <v>262</v>
      </c>
      <c r="P102" s="90"/>
    </row>
    <row r="103">
      <c r="A103" s="89"/>
      <c r="B103" s="89"/>
      <c r="C103" s="89"/>
      <c r="D103" s="89"/>
      <c r="E103" s="89"/>
      <c r="F103" s="89"/>
      <c r="G103" s="89"/>
      <c r="H103" s="89"/>
      <c r="I103" s="89"/>
      <c r="J103" s="89"/>
      <c r="K103" s="89"/>
      <c r="L103" s="89"/>
      <c r="M103" s="89"/>
      <c r="N103" s="89"/>
      <c r="O103" s="89" t="s">
        <v>262</v>
      </c>
      <c r="P103" s="90"/>
    </row>
    <row r="104">
      <c r="A104" s="89"/>
      <c r="B104" s="89"/>
      <c r="C104" s="89"/>
      <c r="D104" s="89"/>
      <c r="E104" s="89"/>
      <c r="F104" s="89"/>
      <c r="G104" s="89"/>
      <c r="H104" s="89"/>
      <c r="I104" s="89"/>
      <c r="J104" s="89"/>
      <c r="K104" s="89"/>
      <c r="L104" s="89"/>
      <c r="M104" s="89"/>
      <c r="N104" s="89"/>
      <c r="O104" s="89" t="s">
        <v>262</v>
      </c>
      <c r="P104" s="90"/>
    </row>
    <row r="105">
      <c r="A105" s="89"/>
      <c r="B105" s="89"/>
      <c r="C105" s="89"/>
      <c r="D105" s="89"/>
      <c r="E105" s="89"/>
      <c r="F105" s="89"/>
      <c r="G105" s="89"/>
      <c r="H105" s="89"/>
      <c r="I105" s="89"/>
      <c r="J105" s="89"/>
      <c r="K105" s="89"/>
      <c r="L105" s="89"/>
      <c r="M105" s="89"/>
      <c r="N105" s="89"/>
      <c r="O105" s="89" t="s">
        <v>262</v>
      </c>
      <c r="P105" s="90"/>
    </row>
    <row r="106">
      <c r="A106" s="89"/>
      <c r="B106" s="89"/>
      <c r="C106" s="89"/>
      <c r="D106" s="89"/>
      <c r="E106" s="89"/>
      <c r="F106" s="89"/>
      <c r="G106" s="89"/>
      <c r="H106" s="89"/>
      <c r="I106" s="89"/>
      <c r="J106" s="89"/>
      <c r="K106" s="89"/>
      <c r="L106" s="89"/>
      <c r="M106" s="89"/>
      <c r="N106" s="89"/>
      <c r="O106" s="89" t="s">
        <v>262</v>
      </c>
      <c r="P106" s="90"/>
    </row>
    <row r="107">
      <c r="A107" s="89"/>
      <c r="B107" s="89"/>
      <c r="C107" s="89"/>
      <c r="D107" s="89"/>
      <c r="E107" s="89"/>
      <c r="F107" s="89"/>
      <c r="G107" s="89"/>
      <c r="H107" s="89"/>
      <c r="I107" s="89"/>
      <c r="J107" s="89"/>
      <c r="K107" s="89"/>
      <c r="L107" s="89"/>
      <c r="M107" s="89"/>
      <c r="N107" s="89"/>
      <c r="O107" s="89" t="s">
        <v>262</v>
      </c>
      <c r="P107" s="90"/>
    </row>
    <row r="108">
      <c r="A108" s="89"/>
      <c r="B108" s="89"/>
      <c r="C108" s="89"/>
      <c r="D108" s="89"/>
      <c r="E108" s="89"/>
      <c r="F108" s="89"/>
      <c r="G108" s="89"/>
      <c r="H108" s="89"/>
      <c r="I108" s="89"/>
      <c r="J108" s="89"/>
      <c r="K108" s="89"/>
      <c r="L108" s="89"/>
      <c r="M108" s="89"/>
      <c r="N108" s="89"/>
      <c r="O108" s="89" t="s">
        <v>262</v>
      </c>
      <c r="P108" s="90"/>
    </row>
    <row r="109">
      <c r="A109" s="89"/>
      <c r="B109" s="89"/>
      <c r="C109" s="89"/>
      <c r="D109" s="89"/>
      <c r="E109" s="89"/>
      <c r="F109" s="89"/>
      <c r="G109" s="89"/>
      <c r="H109" s="89"/>
      <c r="I109" s="89"/>
      <c r="J109" s="89"/>
      <c r="K109" s="89"/>
      <c r="L109" s="89"/>
      <c r="M109" s="89"/>
      <c r="N109" s="89"/>
      <c r="O109" s="89" t="s">
        <v>262</v>
      </c>
      <c r="P109" s="90"/>
    </row>
    <row r="110">
      <c r="A110" s="89"/>
      <c r="B110" s="89"/>
      <c r="C110" s="89"/>
      <c r="D110" s="89"/>
      <c r="E110" s="89"/>
      <c r="F110" s="89"/>
      <c r="G110" s="89"/>
      <c r="H110" s="89"/>
      <c r="I110" s="89"/>
      <c r="J110" s="89"/>
      <c r="K110" s="89"/>
      <c r="L110" s="89"/>
      <c r="M110" s="89"/>
      <c r="N110" s="89"/>
      <c r="O110" s="89" t="s">
        <v>262</v>
      </c>
      <c r="P110" s="90"/>
    </row>
    <row r="111">
      <c r="A111" s="89"/>
      <c r="B111" s="89"/>
      <c r="C111" s="89"/>
      <c r="D111" s="89"/>
      <c r="E111" s="89"/>
      <c r="F111" s="89"/>
      <c r="G111" s="89"/>
      <c r="H111" s="89"/>
      <c r="I111" s="89"/>
      <c r="J111" s="89"/>
      <c r="K111" s="89"/>
      <c r="L111" s="89"/>
      <c r="M111" s="89"/>
      <c r="N111" s="89"/>
      <c r="O111" s="89" t="s">
        <v>262</v>
      </c>
      <c r="P111" s="90"/>
    </row>
    <row r="112">
      <c r="A112" s="89"/>
      <c r="B112" s="89"/>
      <c r="C112" s="89"/>
      <c r="D112" s="89"/>
      <c r="E112" s="89"/>
      <c r="F112" s="89"/>
      <c r="G112" s="89"/>
      <c r="H112" s="89"/>
      <c r="I112" s="89"/>
      <c r="J112" s="89"/>
      <c r="K112" s="89"/>
      <c r="L112" s="89"/>
      <c r="M112" s="89"/>
      <c r="N112" s="89"/>
      <c r="O112" s="89" t="s">
        <v>262</v>
      </c>
      <c r="P112" s="90"/>
    </row>
    <row r="113">
      <c r="A113" s="89"/>
      <c r="B113" s="89"/>
      <c r="C113" s="89"/>
      <c r="D113" s="89"/>
      <c r="E113" s="89"/>
      <c r="F113" s="89"/>
      <c r="G113" s="89"/>
      <c r="H113" s="89"/>
      <c r="I113" s="89"/>
      <c r="J113" s="89"/>
      <c r="K113" s="89"/>
      <c r="L113" s="89"/>
      <c r="M113" s="89"/>
      <c r="N113" s="89"/>
      <c r="O113" s="89" t="s">
        <v>262</v>
      </c>
      <c r="P113" s="90"/>
    </row>
    <row r="114">
      <c r="A114" s="89"/>
      <c r="B114" s="89"/>
      <c r="C114" s="89"/>
      <c r="D114" s="89"/>
      <c r="E114" s="89"/>
      <c r="F114" s="89"/>
      <c r="G114" s="89"/>
      <c r="H114" s="89"/>
      <c r="I114" s="89"/>
      <c r="J114" s="89"/>
      <c r="K114" s="89"/>
      <c r="L114" s="89"/>
      <c r="M114" s="89"/>
      <c r="N114" s="89"/>
      <c r="O114" s="89" t="s">
        <v>262</v>
      </c>
      <c r="P114" s="90"/>
    </row>
    <row r="115">
      <c r="A115" s="89"/>
      <c r="B115" s="89"/>
      <c r="C115" s="89"/>
      <c r="D115" s="89"/>
      <c r="E115" s="89"/>
      <c r="F115" s="89"/>
      <c r="G115" s="89"/>
      <c r="H115" s="89"/>
      <c r="I115" s="89"/>
      <c r="J115" s="89"/>
      <c r="K115" s="89"/>
      <c r="L115" s="89"/>
      <c r="M115" s="89"/>
      <c r="N115" s="89"/>
      <c r="O115" s="89" t="s">
        <v>262</v>
      </c>
      <c r="P115" s="90"/>
    </row>
    <row r="116">
      <c r="A116" s="89"/>
      <c r="B116" s="89"/>
      <c r="C116" s="89"/>
      <c r="D116" s="89"/>
      <c r="E116" s="89"/>
      <c r="F116" s="89"/>
      <c r="G116" s="89"/>
      <c r="H116" s="89"/>
      <c r="I116" s="89"/>
      <c r="J116" s="89"/>
      <c r="K116" s="89"/>
      <c r="L116" s="89"/>
      <c r="M116" s="89"/>
      <c r="N116" s="89"/>
      <c r="O116" s="89" t="s">
        <v>262</v>
      </c>
      <c r="P116" s="90"/>
    </row>
    <row r="117">
      <c r="A117" s="89"/>
      <c r="B117" s="89"/>
      <c r="C117" s="89"/>
      <c r="D117" s="89"/>
      <c r="E117" s="89"/>
      <c r="F117" s="89"/>
      <c r="G117" s="89"/>
      <c r="H117" s="89"/>
      <c r="I117" s="89"/>
      <c r="J117" s="89"/>
      <c r="K117" s="89"/>
      <c r="L117" s="89"/>
      <c r="M117" s="89"/>
      <c r="N117" s="89"/>
      <c r="O117" s="89" t="s">
        <v>262</v>
      </c>
      <c r="P117" s="90"/>
    </row>
    <row r="118">
      <c r="A118" s="89"/>
      <c r="B118" s="89"/>
      <c r="C118" s="89"/>
      <c r="D118" s="89"/>
      <c r="E118" s="89"/>
      <c r="F118" s="89"/>
      <c r="G118" s="89"/>
      <c r="H118" s="89"/>
      <c r="I118" s="89"/>
      <c r="J118" s="89"/>
      <c r="K118" s="89"/>
      <c r="L118" s="89"/>
      <c r="M118" s="89"/>
      <c r="N118" s="89"/>
      <c r="O118" s="89" t="s">
        <v>262</v>
      </c>
      <c r="P118" s="90"/>
    </row>
    <row r="119">
      <c r="A119" s="89"/>
      <c r="B119" s="89"/>
      <c r="C119" s="89"/>
      <c r="D119" s="89"/>
      <c r="E119" s="89"/>
      <c r="F119" s="89"/>
      <c r="G119" s="89"/>
      <c r="H119" s="89"/>
      <c r="I119" s="89"/>
      <c r="J119" s="89"/>
      <c r="K119" s="89"/>
      <c r="L119" s="89"/>
      <c r="M119" s="89"/>
      <c r="N119" s="89"/>
      <c r="O119" s="89" t="s">
        <v>262</v>
      </c>
      <c r="P119" s="90"/>
    </row>
    <row r="120">
      <c r="A120" s="89"/>
      <c r="B120" s="89"/>
      <c r="C120" s="89"/>
      <c r="D120" s="89"/>
      <c r="E120" s="89"/>
      <c r="F120" s="89"/>
      <c r="G120" s="89"/>
      <c r="H120" s="89"/>
      <c r="I120" s="89"/>
      <c r="J120" s="89"/>
      <c r="K120" s="89"/>
      <c r="L120" s="89"/>
      <c r="M120" s="89"/>
      <c r="N120" s="89"/>
      <c r="O120" s="89" t="s">
        <v>262</v>
      </c>
      <c r="P120" s="90"/>
    </row>
    <row r="121">
      <c r="A121" s="89"/>
      <c r="B121" s="89"/>
      <c r="C121" s="89"/>
      <c r="D121" s="89"/>
      <c r="E121" s="89"/>
      <c r="F121" s="89"/>
      <c r="G121" s="89"/>
      <c r="H121" s="89"/>
      <c r="I121" s="89"/>
      <c r="J121" s="89"/>
      <c r="K121" s="89"/>
      <c r="L121" s="89"/>
      <c r="M121" s="89"/>
      <c r="N121" s="89"/>
      <c r="O121" s="89" t="s">
        <v>262</v>
      </c>
      <c r="P121" s="90"/>
    </row>
    <row r="122">
      <c r="A122" s="89"/>
      <c r="B122" s="89"/>
      <c r="C122" s="89"/>
      <c r="D122" s="89"/>
      <c r="E122" s="89"/>
      <c r="F122" s="89"/>
      <c r="G122" s="89"/>
      <c r="H122" s="89"/>
      <c r="I122" s="89"/>
      <c r="J122" s="89"/>
      <c r="K122" s="89"/>
      <c r="L122" s="89"/>
      <c r="M122" s="89"/>
      <c r="N122" s="89"/>
      <c r="O122" s="89" t="s">
        <v>262</v>
      </c>
      <c r="P122" s="90"/>
    </row>
    <row r="123">
      <c r="A123" s="89"/>
      <c r="B123" s="89"/>
      <c r="C123" s="89"/>
      <c r="D123" s="89"/>
      <c r="E123" s="89"/>
      <c r="F123" s="89"/>
      <c r="G123" s="89"/>
      <c r="H123" s="89"/>
      <c r="I123" s="89"/>
      <c r="J123" s="89"/>
      <c r="K123" s="89"/>
      <c r="L123" s="89"/>
      <c r="M123" s="89"/>
      <c r="N123" s="89"/>
      <c r="O123" s="89" t="s">
        <v>262</v>
      </c>
      <c r="P123" s="90"/>
    </row>
    <row r="124">
      <c r="A124" s="89"/>
      <c r="B124" s="89"/>
      <c r="C124" s="89"/>
      <c r="D124" s="89"/>
      <c r="E124" s="89"/>
      <c r="F124" s="89"/>
      <c r="G124" s="89"/>
      <c r="H124" s="89"/>
      <c r="I124" s="89"/>
      <c r="J124" s="89"/>
      <c r="K124" s="89"/>
      <c r="L124" s="89"/>
      <c r="M124" s="89"/>
      <c r="N124" s="89"/>
      <c r="O124" s="89" t="s">
        <v>262</v>
      </c>
      <c r="P124" s="90"/>
    </row>
    <row r="125">
      <c r="A125" s="89"/>
      <c r="B125" s="89"/>
      <c r="C125" s="89"/>
      <c r="D125" s="89"/>
      <c r="E125" s="89"/>
      <c r="F125" s="89"/>
      <c r="G125" s="89"/>
      <c r="H125" s="89"/>
      <c r="I125" s="89"/>
      <c r="J125" s="89"/>
      <c r="K125" s="89"/>
      <c r="L125" s="89"/>
      <c r="M125" s="89"/>
      <c r="N125" s="89"/>
      <c r="O125" s="89" t="s">
        <v>262</v>
      </c>
      <c r="P125" s="90"/>
    </row>
    <row r="126">
      <c r="A126" s="89"/>
      <c r="B126" s="89"/>
      <c r="C126" s="89"/>
      <c r="D126" s="89"/>
      <c r="E126" s="89"/>
      <c r="F126" s="89"/>
      <c r="G126" s="89"/>
      <c r="H126" s="89"/>
      <c r="I126" s="89"/>
      <c r="J126" s="89"/>
      <c r="K126" s="89"/>
      <c r="L126" s="89"/>
      <c r="M126" s="89"/>
      <c r="N126" s="89"/>
      <c r="O126" s="89" t="s">
        <v>262</v>
      </c>
      <c r="P126" s="90"/>
    </row>
    <row r="127">
      <c r="A127" s="89"/>
      <c r="B127" s="89"/>
      <c r="C127" s="89"/>
      <c r="D127" s="89"/>
      <c r="E127" s="89"/>
      <c r="F127" s="89"/>
      <c r="G127" s="89"/>
      <c r="H127" s="89"/>
      <c r="I127" s="89"/>
      <c r="J127" s="89"/>
      <c r="K127" s="89"/>
      <c r="L127" s="89"/>
      <c r="M127" s="89"/>
      <c r="N127" s="89"/>
      <c r="O127" s="89" t="s">
        <v>262</v>
      </c>
      <c r="P127" s="90"/>
    </row>
    <row r="128">
      <c r="A128" s="89"/>
      <c r="B128" s="89"/>
      <c r="C128" s="89"/>
      <c r="D128" s="89"/>
      <c r="E128" s="89"/>
      <c r="F128" s="89"/>
      <c r="G128" s="89"/>
      <c r="H128" s="89"/>
      <c r="I128" s="89"/>
      <c r="J128" s="89"/>
      <c r="K128" s="89"/>
      <c r="L128" s="89"/>
      <c r="M128" s="89"/>
      <c r="N128" s="89"/>
      <c r="O128" s="89" t="s">
        <v>262</v>
      </c>
      <c r="P128" s="90"/>
    </row>
    <row r="129">
      <c r="A129" s="89"/>
      <c r="B129" s="89"/>
      <c r="C129" s="89"/>
      <c r="D129" s="89"/>
      <c r="E129" s="89"/>
      <c r="F129" s="89"/>
      <c r="G129" s="89"/>
      <c r="H129" s="89"/>
      <c r="I129" s="89"/>
      <c r="J129" s="89"/>
      <c r="K129" s="89"/>
      <c r="L129" s="89"/>
      <c r="M129" s="89"/>
      <c r="N129" s="89"/>
      <c r="O129" s="89" t="s">
        <v>262</v>
      </c>
      <c r="P129" s="90"/>
    </row>
    <row r="130">
      <c r="A130" s="89"/>
      <c r="B130" s="89"/>
      <c r="C130" s="89"/>
      <c r="D130" s="89"/>
      <c r="E130" s="89"/>
      <c r="F130" s="89"/>
      <c r="G130" s="89"/>
      <c r="H130" s="89"/>
      <c r="I130" s="89"/>
      <c r="J130" s="89"/>
      <c r="K130" s="89"/>
      <c r="L130" s="89"/>
      <c r="M130" s="89"/>
      <c r="N130" s="89"/>
      <c r="O130" s="89" t="s">
        <v>262</v>
      </c>
      <c r="P130" s="90"/>
    </row>
    <row r="131">
      <c r="A131" s="89"/>
      <c r="B131" s="89"/>
      <c r="C131" s="89"/>
      <c r="D131" s="89"/>
      <c r="E131" s="89"/>
      <c r="F131" s="89"/>
      <c r="G131" s="89"/>
      <c r="H131" s="89"/>
      <c r="I131" s="89"/>
      <c r="J131" s="89"/>
      <c r="K131" s="89"/>
      <c r="L131" s="89"/>
      <c r="M131" s="89"/>
      <c r="N131" s="89"/>
      <c r="O131" s="89" t="s">
        <v>262</v>
      </c>
      <c r="P131" s="90"/>
    </row>
    <row r="132">
      <c r="A132" s="89"/>
      <c r="B132" s="89"/>
      <c r="C132" s="89"/>
      <c r="D132" s="89"/>
      <c r="E132" s="89"/>
      <c r="F132" s="89"/>
      <c r="G132" s="89"/>
      <c r="H132" s="89"/>
      <c r="I132" s="89"/>
      <c r="J132" s="89"/>
      <c r="K132" s="89"/>
      <c r="L132" s="89"/>
      <c r="M132" s="89"/>
      <c r="N132" s="89"/>
      <c r="O132" s="89" t="s">
        <v>262</v>
      </c>
      <c r="P132" s="90"/>
    </row>
    <row r="133">
      <c r="A133" s="89"/>
      <c r="B133" s="89"/>
      <c r="C133" s="89"/>
      <c r="D133" s="89"/>
      <c r="E133" s="89"/>
      <c r="F133" s="89"/>
      <c r="G133" s="89"/>
      <c r="H133" s="89"/>
      <c r="I133" s="89"/>
      <c r="J133" s="89"/>
      <c r="K133" s="89"/>
      <c r="L133" s="89"/>
      <c r="M133" s="89"/>
      <c r="N133" s="89"/>
      <c r="O133" s="89" t="s">
        <v>262</v>
      </c>
      <c r="P133" s="90"/>
    </row>
    <row r="134">
      <c r="A134" s="89"/>
      <c r="B134" s="89"/>
      <c r="C134" s="89"/>
      <c r="D134" s="89"/>
      <c r="E134" s="89"/>
      <c r="F134" s="89"/>
      <c r="G134" s="89"/>
      <c r="H134" s="89"/>
      <c r="I134" s="89"/>
      <c r="J134" s="89"/>
      <c r="K134" s="89"/>
      <c r="L134" s="89"/>
      <c r="M134" s="89"/>
      <c r="N134" s="89"/>
      <c r="O134" s="89" t="s">
        <v>262</v>
      </c>
      <c r="P134" s="90"/>
    </row>
    <row r="135">
      <c r="A135" s="89"/>
      <c r="B135" s="89"/>
      <c r="C135" s="89"/>
      <c r="D135" s="89"/>
      <c r="E135" s="89"/>
      <c r="F135" s="89"/>
      <c r="G135" s="89"/>
      <c r="H135" s="89"/>
      <c r="I135" s="89"/>
      <c r="J135" s="89"/>
      <c r="K135" s="89"/>
      <c r="L135" s="89"/>
      <c r="M135" s="89"/>
      <c r="N135" s="89"/>
      <c r="O135" s="89" t="s">
        <v>262</v>
      </c>
      <c r="P135" s="89"/>
    </row>
    <row r="136">
      <c r="A136" s="89"/>
      <c r="B136" s="89"/>
      <c r="C136" s="89"/>
      <c r="D136" s="89"/>
      <c r="E136" s="89"/>
      <c r="F136" s="89"/>
      <c r="G136" s="89"/>
      <c r="H136" s="89"/>
      <c r="I136" s="89"/>
      <c r="J136" s="89"/>
      <c r="K136" s="89"/>
      <c r="L136" s="89"/>
      <c r="M136" s="89"/>
      <c r="N136" s="89"/>
      <c r="O136" s="89" t="s">
        <v>262</v>
      </c>
      <c r="P136" s="89"/>
    </row>
    <row r="137">
      <c r="A137" s="89"/>
      <c r="B137" s="89"/>
      <c r="C137" s="89"/>
      <c r="D137" s="89"/>
      <c r="E137" s="89"/>
      <c r="F137" s="89"/>
      <c r="G137" s="89"/>
      <c r="H137" s="89"/>
      <c r="I137" s="89"/>
      <c r="J137" s="89"/>
      <c r="K137" s="89"/>
      <c r="L137" s="89"/>
      <c r="M137" s="89"/>
      <c r="N137" s="89"/>
      <c r="O137" s="89" t="s">
        <v>262</v>
      </c>
      <c r="P137" s="89"/>
    </row>
    <row r="138">
      <c r="A138" s="89"/>
      <c r="B138" s="89"/>
      <c r="C138" s="89"/>
      <c r="D138" s="89"/>
      <c r="E138" s="89"/>
      <c r="F138" s="89"/>
      <c r="G138" s="89"/>
      <c r="H138" s="89"/>
      <c r="I138" s="89"/>
      <c r="J138" s="89"/>
      <c r="K138" s="89"/>
      <c r="L138" s="89"/>
      <c r="M138" s="89"/>
      <c r="N138" s="89"/>
      <c r="O138" s="89" t="s">
        <v>262</v>
      </c>
      <c r="P138" s="89"/>
    </row>
    <row r="139">
      <c r="A139" s="89"/>
      <c r="B139" s="89"/>
      <c r="C139" s="89"/>
      <c r="D139" s="89"/>
      <c r="E139" s="89"/>
      <c r="F139" s="89"/>
      <c r="G139" s="89"/>
      <c r="H139" s="89"/>
      <c r="I139" s="89"/>
      <c r="J139" s="89"/>
      <c r="K139" s="89"/>
      <c r="L139" s="89"/>
      <c r="M139" s="89"/>
      <c r="N139" s="89"/>
      <c r="O139" s="89" t="s">
        <v>262</v>
      </c>
      <c r="P139" s="89"/>
    </row>
    <row r="140">
      <c r="A140" s="89"/>
      <c r="B140" s="89"/>
      <c r="C140" s="89"/>
      <c r="D140" s="89"/>
      <c r="E140" s="89"/>
      <c r="F140" s="89"/>
      <c r="G140" s="89"/>
      <c r="H140" s="89"/>
      <c r="I140" s="89"/>
      <c r="J140" s="89"/>
      <c r="K140" s="89"/>
      <c r="L140" s="89"/>
      <c r="M140" s="89"/>
      <c r="N140" s="89"/>
      <c r="O140" s="89" t="s">
        <v>262</v>
      </c>
      <c r="P140" s="89"/>
    </row>
    <row r="141">
      <c r="A141" s="89"/>
      <c r="B141" s="89"/>
      <c r="C141" s="89"/>
      <c r="D141" s="89"/>
      <c r="E141" s="89"/>
      <c r="F141" s="89"/>
      <c r="G141" s="89"/>
      <c r="H141" s="89"/>
      <c r="I141" s="89"/>
      <c r="J141" s="89"/>
      <c r="K141" s="89"/>
      <c r="L141" s="89"/>
      <c r="M141" s="89"/>
      <c r="N141" s="89"/>
      <c r="O141" s="89" t="s">
        <v>262</v>
      </c>
      <c r="P141" s="89"/>
    </row>
    <row r="142">
      <c r="A142" s="89"/>
      <c r="B142" s="89"/>
      <c r="C142" s="89"/>
      <c r="D142" s="89"/>
      <c r="E142" s="89"/>
      <c r="F142" s="89"/>
      <c r="G142" s="89"/>
      <c r="H142" s="89"/>
      <c r="I142" s="89"/>
      <c r="J142" s="89"/>
      <c r="K142" s="89"/>
      <c r="L142" s="89"/>
      <c r="M142" s="89"/>
      <c r="N142" s="89"/>
      <c r="O142" s="89" t="s">
        <v>262</v>
      </c>
      <c r="P142" s="89"/>
    </row>
    <row r="143">
      <c r="A143" s="89"/>
      <c r="B143" s="89"/>
      <c r="C143" s="89"/>
      <c r="D143" s="89"/>
      <c r="E143" s="89"/>
      <c r="F143" s="89"/>
      <c r="G143" s="89"/>
      <c r="H143" s="89"/>
      <c r="I143" s="89"/>
      <c r="J143" s="89"/>
      <c r="K143" s="89"/>
      <c r="L143" s="89"/>
      <c r="M143" s="89"/>
      <c r="N143" s="89"/>
      <c r="O143" s="89" t="s">
        <v>262</v>
      </c>
      <c r="P143" s="89"/>
    </row>
    <row r="144">
      <c r="A144" s="89"/>
      <c r="B144" s="89"/>
      <c r="C144" s="89"/>
      <c r="D144" s="89"/>
      <c r="E144" s="89"/>
      <c r="F144" s="89"/>
      <c r="G144" s="89"/>
      <c r="H144" s="89"/>
      <c r="I144" s="89"/>
      <c r="J144" s="89"/>
      <c r="K144" s="89"/>
      <c r="L144" s="89"/>
      <c r="M144" s="89"/>
      <c r="N144" s="89"/>
      <c r="O144" s="89" t="s">
        <v>262</v>
      </c>
      <c r="P144" s="89"/>
    </row>
    <row r="145">
      <c r="A145" s="89"/>
      <c r="B145" s="89"/>
      <c r="C145" s="89"/>
      <c r="D145" s="89"/>
      <c r="E145" s="89"/>
      <c r="F145" s="89"/>
      <c r="G145" s="89"/>
      <c r="H145" s="89"/>
      <c r="I145" s="89"/>
      <c r="J145" s="89"/>
      <c r="K145" s="89"/>
      <c r="L145" s="89"/>
      <c r="M145" s="89"/>
      <c r="N145" s="89"/>
      <c r="O145" s="89" t="s">
        <v>262</v>
      </c>
      <c r="P145" s="89"/>
    </row>
    <row r="146">
      <c r="A146" s="89"/>
      <c r="B146" s="89"/>
      <c r="C146" s="89"/>
      <c r="D146" s="89"/>
      <c r="E146" s="89"/>
      <c r="F146" s="89"/>
      <c r="G146" s="89"/>
      <c r="H146" s="89"/>
      <c r="I146" s="89"/>
      <c r="J146" s="89"/>
      <c r="K146" s="89"/>
      <c r="L146" s="89"/>
      <c r="M146" s="89"/>
      <c r="N146" s="89"/>
      <c r="O146" s="89" t="s">
        <v>262</v>
      </c>
      <c r="P146" s="89"/>
    </row>
    <row r="147">
      <c r="A147" s="89"/>
      <c r="B147" s="89"/>
      <c r="C147" s="89"/>
      <c r="D147" s="89"/>
      <c r="E147" s="89"/>
      <c r="F147" s="89"/>
      <c r="G147" s="89"/>
      <c r="H147" s="89"/>
      <c r="I147" s="89"/>
      <c r="J147" s="89"/>
      <c r="K147" s="89"/>
      <c r="L147" s="89"/>
      <c r="M147" s="89"/>
      <c r="N147" s="89"/>
      <c r="O147" s="89" t="s">
        <v>262</v>
      </c>
      <c r="P147" s="89"/>
    </row>
    <row r="148">
      <c r="A148" s="89"/>
      <c r="B148" s="89"/>
      <c r="C148" s="89"/>
      <c r="D148" s="89"/>
      <c r="E148" s="89"/>
      <c r="F148" s="89"/>
      <c r="G148" s="89"/>
      <c r="H148" s="89"/>
      <c r="I148" s="89"/>
      <c r="J148" s="89"/>
      <c r="K148" s="89"/>
      <c r="L148" s="89"/>
      <c r="M148" s="89"/>
      <c r="N148" s="89"/>
      <c r="O148" s="89" t="s">
        <v>262</v>
      </c>
      <c r="P148" s="89"/>
    </row>
    <row r="149">
      <c r="A149" s="89"/>
      <c r="B149" s="89"/>
      <c r="C149" s="89"/>
      <c r="D149" s="89"/>
      <c r="E149" s="89"/>
      <c r="F149" s="89"/>
      <c r="G149" s="89"/>
      <c r="H149" s="89"/>
      <c r="I149" s="89"/>
      <c r="J149" s="89"/>
      <c r="K149" s="89"/>
      <c r="L149" s="89"/>
      <c r="M149" s="89"/>
      <c r="N149" s="89"/>
      <c r="O149" s="89" t="s">
        <v>262</v>
      </c>
      <c r="P149" s="89"/>
    </row>
    <row r="150">
      <c r="A150" s="89"/>
      <c r="B150" s="89"/>
      <c r="C150" s="89"/>
      <c r="D150" s="89"/>
      <c r="E150" s="89"/>
      <c r="F150" s="89"/>
      <c r="G150" s="89"/>
      <c r="H150" s="89"/>
      <c r="I150" s="89"/>
      <c r="J150" s="89"/>
      <c r="K150" s="89"/>
      <c r="L150" s="89"/>
      <c r="M150" s="89"/>
      <c r="N150" s="89"/>
      <c r="O150" s="89" t="s">
        <v>262</v>
      </c>
      <c r="P150" s="89"/>
    </row>
    <row r="151">
      <c r="A151" s="89"/>
      <c r="B151" s="89"/>
      <c r="C151" s="89"/>
      <c r="D151" s="89"/>
      <c r="E151" s="89"/>
      <c r="F151" s="89"/>
      <c r="G151" s="89"/>
      <c r="H151" s="89"/>
      <c r="I151" s="89"/>
      <c r="J151" s="89"/>
      <c r="K151" s="89"/>
      <c r="L151" s="89"/>
      <c r="M151" s="89"/>
      <c r="N151" s="89"/>
      <c r="O151" s="89" t="s">
        <v>262</v>
      </c>
      <c r="P151" s="89"/>
    </row>
    <row r="152">
      <c r="A152" s="89"/>
      <c r="B152" s="89"/>
      <c r="C152" s="89"/>
      <c r="D152" s="89"/>
      <c r="E152" s="89"/>
      <c r="F152" s="89"/>
      <c r="G152" s="89"/>
      <c r="H152" s="89"/>
      <c r="I152" s="89"/>
      <c r="J152" s="89"/>
      <c r="K152" s="89"/>
      <c r="L152" s="89"/>
      <c r="M152" s="89"/>
      <c r="N152" s="89"/>
      <c r="O152" s="89" t="s">
        <v>262</v>
      </c>
      <c r="P152" s="89"/>
    </row>
    <row r="153">
      <c r="A153" s="89"/>
      <c r="B153" s="89"/>
      <c r="C153" s="89"/>
      <c r="D153" s="89"/>
      <c r="E153" s="89"/>
      <c r="F153" s="89"/>
      <c r="G153" s="89"/>
      <c r="H153" s="89"/>
      <c r="I153" s="89"/>
      <c r="J153" s="89"/>
      <c r="K153" s="89"/>
      <c r="L153" s="89"/>
      <c r="M153" s="89"/>
      <c r="N153" s="89"/>
      <c r="O153" s="89" t="s">
        <v>262</v>
      </c>
      <c r="P153" s="89"/>
    </row>
    <row r="154">
      <c r="A154" s="89"/>
      <c r="B154" s="89"/>
      <c r="C154" s="89"/>
      <c r="D154" s="89"/>
      <c r="E154" s="89"/>
      <c r="F154" s="89"/>
      <c r="G154" s="89"/>
      <c r="H154" s="89"/>
      <c r="I154" s="89"/>
      <c r="J154" s="89"/>
      <c r="K154" s="89"/>
      <c r="L154" s="89"/>
      <c r="M154" s="89"/>
      <c r="N154" s="89"/>
      <c r="O154" s="89" t="s">
        <v>262</v>
      </c>
      <c r="P154" s="89"/>
    </row>
    <row r="155">
      <c r="A155" s="89"/>
      <c r="B155" s="89"/>
      <c r="C155" s="89"/>
      <c r="D155" s="89"/>
      <c r="E155" s="89"/>
      <c r="F155" s="89"/>
      <c r="G155" s="89"/>
      <c r="H155" s="89"/>
      <c r="I155" s="89"/>
      <c r="J155" s="89"/>
      <c r="K155" s="89"/>
      <c r="L155" s="89"/>
      <c r="M155" s="89"/>
      <c r="N155" s="89"/>
      <c r="O155" s="89" t="s">
        <v>262</v>
      </c>
      <c r="P155" s="89"/>
    </row>
    <row r="156">
      <c r="A156" s="89"/>
      <c r="B156" s="89"/>
      <c r="C156" s="89"/>
      <c r="D156" s="89"/>
      <c r="E156" s="89"/>
      <c r="F156" s="89"/>
      <c r="G156" s="89"/>
      <c r="H156" s="89"/>
      <c r="I156" s="89"/>
      <c r="J156" s="89"/>
      <c r="K156" s="89"/>
      <c r="L156" s="89"/>
      <c r="M156" s="89"/>
      <c r="N156" s="89"/>
      <c r="O156" s="89" t="s">
        <v>262</v>
      </c>
      <c r="P156" s="89"/>
    </row>
    <row r="157">
      <c r="A157" s="89"/>
      <c r="B157" s="89"/>
      <c r="C157" s="89"/>
      <c r="D157" s="89"/>
      <c r="E157" s="89"/>
      <c r="F157" s="89"/>
      <c r="G157" s="89"/>
      <c r="H157" s="89"/>
      <c r="I157" s="89"/>
      <c r="J157" s="89"/>
      <c r="K157" s="89"/>
      <c r="L157" s="89"/>
      <c r="M157" s="89"/>
      <c r="N157" s="89"/>
      <c r="O157" s="89" t="s">
        <v>262</v>
      </c>
      <c r="P157" s="89"/>
    </row>
    <row r="158">
      <c r="A158" s="89"/>
      <c r="B158" s="89"/>
      <c r="C158" s="89"/>
      <c r="D158" s="89"/>
      <c r="E158" s="89"/>
      <c r="F158" s="89"/>
      <c r="G158" s="89"/>
      <c r="H158" s="89"/>
      <c r="I158" s="89"/>
      <c r="J158" s="89"/>
      <c r="K158" s="89"/>
      <c r="L158" s="89"/>
      <c r="M158" s="89"/>
      <c r="N158" s="89"/>
      <c r="O158" s="89" t="s">
        <v>262</v>
      </c>
      <c r="P158" s="89"/>
    </row>
    <row r="159">
      <c r="A159" s="89"/>
      <c r="B159" s="89"/>
      <c r="C159" s="89"/>
      <c r="D159" s="89"/>
      <c r="E159" s="89"/>
      <c r="F159" s="89"/>
      <c r="G159" s="89"/>
      <c r="H159" s="89"/>
      <c r="I159" s="89"/>
      <c r="J159" s="89"/>
      <c r="K159" s="89"/>
      <c r="L159" s="89"/>
      <c r="M159" s="89"/>
      <c r="N159" s="89"/>
      <c r="O159" s="89" t="s">
        <v>262</v>
      </c>
      <c r="P159" s="89"/>
    </row>
    <row r="160">
      <c r="A160" s="89"/>
      <c r="B160" s="89"/>
      <c r="C160" s="89"/>
      <c r="D160" s="89"/>
      <c r="E160" s="89"/>
      <c r="F160" s="89"/>
      <c r="G160" s="89"/>
      <c r="H160" s="89"/>
      <c r="I160" s="89"/>
      <c r="J160" s="89"/>
      <c r="K160" s="89"/>
      <c r="L160" s="89"/>
      <c r="M160" s="89"/>
      <c r="N160" s="89"/>
      <c r="O160" s="89" t="s">
        <v>262</v>
      </c>
      <c r="P160" s="89"/>
    </row>
    <row r="161">
      <c r="A161" s="89"/>
      <c r="B161" s="89"/>
      <c r="C161" s="89"/>
      <c r="D161" s="89"/>
      <c r="E161" s="89"/>
      <c r="F161" s="89"/>
      <c r="G161" s="89"/>
      <c r="H161" s="89"/>
      <c r="I161" s="89"/>
      <c r="J161" s="89"/>
      <c r="K161" s="89"/>
      <c r="L161" s="89"/>
      <c r="M161" s="89"/>
      <c r="N161" s="89"/>
      <c r="O161" s="89" t="s">
        <v>262</v>
      </c>
      <c r="P161" s="89"/>
    </row>
    <row r="162">
      <c r="A162" s="89"/>
      <c r="B162" s="89"/>
      <c r="C162" s="89"/>
      <c r="D162" s="89"/>
      <c r="E162" s="89"/>
      <c r="F162" s="89"/>
      <c r="G162" s="89"/>
      <c r="H162" s="89"/>
      <c r="I162" s="89"/>
      <c r="J162" s="89"/>
      <c r="K162" s="89"/>
      <c r="L162" s="89"/>
      <c r="M162" s="89"/>
      <c r="N162" s="89"/>
      <c r="O162" s="89" t="s">
        <v>262</v>
      </c>
      <c r="P162" s="89"/>
    </row>
    <row r="163">
      <c r="A163" s="89"/>
      <c r="B163" s="89"/>
      <c r="C163" s="89"/>
      <c r="D163" s="89"/>
      <c r="E163" s="89"/>
      <c r="F163" s="89"/>
      <c r="G163" s="89"/>
      <c r="H163" s="89"/>
      <c r="I163" s="89"/>
      <c r="J163" s="89"/>
      <c r="K163" s="89"/>
      <c r="L163" s="89"/>
      <c r="M163" s="89"/>
      <c r="N163" s="89"/>
      <c r="O163" s="89" t="s">
        <v>262</v>
      </c>
      <c r="P163" s="89"/>
    </row>
    <row r="164">
      <c r="A164" s="89"/>
      <c r="B164" s="89"/>
      <c r="C164" s="89"/>
      <c r="D164" s="89"/>
      <c r="E164" s="89"/>
      <c r="F164" s="89"/>
      <c r="G164" s="89"/>
      <c r="H164" s="89"/>
      <c r="I164" s="89"/>
      <c r="J164" s="89"/>
      <c r="K164" s="89"/>
      <c r="L164" s="89"/>
      <c r="M164" s="89"/>
      <c r="N164" s="89"/>
      <c r="O164" s="89" t="s">
        <v>262</v>
      </c>
      <c r="P164" s="89"/>
    </row>
    <row r="165">
      <c r="A165" s="89"/>
      <c r="B165" s="89"/>
      <c r="C165" s="89"/>
      <c r="D165" s="89"/>
      <c r="E165" s="89"/>
      <c r="F165" s="89"/>
      <c r="G165" s="89"/>
      <c r="H165" s="89"/>
      <c r="I165" s="89"/>
      <c r="J165" s="89"/>
      <c r="K165" s="89"/>
      <c r="L165" s="89"/>
      <c r="M165" s="89"/>
      <c r="N165" s="89"/>
      <c r="O165" s="89" t="s">
        <v>262</v>
      </c>
      <c r="P165" s="89"/>
    </row>
    <row r="166">
      <c r="O166" s="91" t="s">
        <v>262</v>
      </c>
    </row>
    <row r="167">
      <c r="O167" s="91" t="s">
        <v>262</v>
      </c>
    </row>
    <row r="168">
      <c r="O168" s="91" t="s">
        <v>262</v>
      </c>
    </row>
  </sheetData>
  <customSheetViews>
    <customSheetView guid="{5D13EBCA-B411-43CE-9126-E66831C909FA}" filter="1" showAutoFilter="1">
      <autoFilter ref="$A$1:$P$97">
        <sortState ref="A1:P97">
          <sortCondition ref="E1:E97"/>
        </sortState>
      </autoFilter>
    </customSheetView>
    <customSheetView guid="{C86A41E8-7269-474F-8929-DD0E7C2A7897}" filter="1" showAutoFilter="1">
      <autoFilter ref="$A$1:$P$97">
        <sortState ref="A1:P97">
          <sortCondition ref="E1:E97"/>
          <sortCondition ref="B1:B97"/>
          <sortCondition ref="A1:A97"/>
          <sortCondition ref="C1:C97"/>
        </sortState>
      </autoFilter>
    </customSheetView>
  </customSheetViews>
  <conditionalFormatting sqref="A54:A58 A67:A72">
    <cfRule type="expression" dxfId="10" priority="1">
      <formula>( #REF! &lt;&gt; "" ) * ( #REF! &lt;= 2 )</formula>
    </cfRule>
  </conditionalFormatting>
  <conditionalFormatting sqref="G1:G168">
    <cfRule type="containsText" dxfId="7" priority="2" operator="containsText" text="VENCIDO">
      <formula>NOT(ISERROR(SEARCH(("VENCIDO"),(G1))))</formula>
    </cfRule>
  </conditionalFormatting>
  <conditionalFormatting sqref="G1:G168">
    <cfRule type="containsText" dxfId="8" priority="3" operator="containsText" text="VIGENTE">
      <formula>NOT(ISERROR(SEARCH(("VIGENTE"),(G1))))</formula>
    </cfRule>
  </conditionalFormatting>
  <conditionalFormatting sqref="G2:G168">
    <cfRule type="containsText" dxfId="9" priority="4" operator="containsText" text="POR VENCER">
      <formula>NOT(ISERROR(SEARCH(("POR VENCER"),(G2))))</formula>
    </cfRule>
  </conditionalFormatting>
  <dataValidations>
    <dataValidation type="custom" allowBlank="1" showDropDown="1" sqref="D2:E97">
      <formula1>OR(NOT(ISERROR(DATEVALUE(D2))), AND(ISNUMBER(D2), LEFT(CELL("format", D2))="D"))</formula1>
    </dataValidation>
    <dataValidation type="custom" allowBlank="1" showDropDown="1" sqref="F2:F97 I2:I97">
      <formula1>AND(ISNUMBER(F2),(NOT(OR(NOT(ISERROR(DATEVALUE(F2))), AND(ISNUMBER(F2), LEFT(CELL("format", F2))="D")))))</formula1>
    </dataValidation>
    <dataValidation type="list" allowBlank="1" sqref="J2:J97">
      <formula1>"BANESCO,VENEZUELA"</formula1>
    </dataValidation>
    <dataValidation allowBlank="1" showDropDown="1" sqref="K2:K97"/>
  </dataValidations>
  <drawing r:id="rId1"/>
  <tableParts count="2">
    <tablePart r:id="rId4"/>
    <tablePart r:id="rId5"/>
  </tableParts>
</worksheet>
</file>